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3121158e728efa/Desktop/harsh_msexel/SD108/Lesson No.16 - Office 365 and Latest formulas/"/>
    </mc:Choice>
  </mc:AlternateContent>
  <xr:revisionPtr revIDLastSave="24" documentId="13_ncr:1_{D1DCF800-04B9-463F-AF6E-3B51BF960AB9}" xr6:coauthVersionLast="47" xr6:coauthVersionMax="47" xr10:uidLastSave="{AC30C487-8585-4EF6-89A9-8A7EF0D96EC9}"/>
  <bookViews>
    <workbookView xWindow="-108" yWindow="-108" windowWidth="23256" windowHeight="12456" tabRatio="923" activeTab="2" xr2:uid="{D75A89B2-BCB2-4822-9BAE-3A4EC711D3A5}"/>
  </bookViews>
  <sheets>
    <sheet name="Sheet1" sheetId="1" r:id="rId1"/>
    <sheet name="SWITCH" sheetId="5" r:id="rId2"/>
    <sheet name="TEXT JOIN FORMULA" sheetId="2" r:id="rId3"/>
    <sheet name="IFS FORMULA" sheetId="3" r:id="rId4"/>
    <sheet name="MAXIFS AND MINIFS" sheetId="4" r:id="rId5"/>
    <sheet name="FILTER FORMULA" sheetId="6" r:id="rId6"/>
    <sheet name="SORT FORMULA" sheetId="7" r:id="rId7"/>
    <sheet name="UNIQUE" sheetId="13" r:id="rId8"/>
    <sheet name="XLOOKUP IN EXCEL" sheetId="8" r:id="rId9"/>
    <sheet name=" XMATCH" sheetId="10" r:id="rId10"/>
    <sheet name="SEQUENCE" sheetId="14" r:id="rId11"/>
    <sheet name="ANALYZE DATA" sheetId="11" r:id="rId12"/>
    <sheet name="MAP CHART" sheetId="12" r:id="rId13"/>
    <sheet name="Suggestion1" sheetId="15" r:id="rId14"/>
    <sheet name="Suggestion2" sheetId="16" r:id="rId15"/>
    <sheet name="Suggestion3" sheetId="17" r:id="rId16"/>
  </sheets>
  <definedNames>
    <definedName name="_xlchart.v5.0" hidden="1">'MAP CHART'!$A$10:$A$14</definedName>
    <definedName name="_xlchart.v5.1" hidden="1">'MAP CHART'!$A$9</definedName>
    <definedName name="_xlchart.v5.2" hidden="1">'MAP CHART'!$B$10:$B$14</definedName>
    <definedName name="_xlchart.v5.3" hidden="1">'MAP CHART'!$B$9</definedName>
  </definedNames>
  <calcPr calcId="191029"/>
  <pivotCaches>
    <pivotCache cacheId="2" r:id="rId17"/>
    <pivotCache cacheId="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4" l="1" a="1"/>
  <c r="C2" i="14" s="1"/>
  <c r="A2" i="14" a="1"/>
  <c r="A2" i="14" s="1"/>
  <c r="I8" i="10"/>
  <c r="F8" i="10"/>
  <c r="L3" i="10"/>
  <c r="I3" i="10"/>
  <c r="F3" i="10"/>
  <c r="I2" i="8"/>
  <c r="J2" i="8"/>
  <c r="K2" i="8"/>
  <c r="H2" i="8"/>
  <c r="F2" i="13" a="1"/>
  <c r="F2" i="13" s="1"/>
  <c r="F2" i="7" a="1"/>
  <c r="F2" i="7" s="1"/>
  <c r="K1" i="7" a="1"/>
  <c r="K1" i="7" s="1"/>
  <c r="F2" i="6" a="1"/>
  <c r="F2" i="6" s="1"/>
  <c r="I3" i="4"/>
  <c r="I2" i="4"/>
  <c r="G3" i="4"/>
  <c r="G2" i="4"/>
  <c r="C3" i="3" a="1"/>
  <c r="C3" i="3"/>
  <c r="C4" i="3" a="1"/>
  <c r="C4" i="3"/>
  <c r="C5" i="3" a="1"/>
  <c r="C5" i="3"/>
  <c r="C6" i="3" a="1"/>
  <c r="C6" i="3"/>
  <c r="C2" i="3" a="1"/>
  <c r="C2" i="3" s="1"/>
  <c r="C3" i="2"/>
  <c r="C4" i="2"/>
  <c r="C5" i="2"/>
  <c r="C6" i="2"/>
  <c r="C2" i="2"/>
  <c r="C3" i="5" a="1"/>
  <c r="C3" i="5" s="1"/>
  <c r="C4" i="5" a="1"/>
  <c r="C4" i="5"/>
  <c r="C5" i="5" a="1"/>
  <c r="C5" i="5"/>
  <c r="C6" i="5" a="1"/>
  <c r="C6" i="5"/>
  <c r="C7" i="5" a="1"/>
  <c r="C7" i="5" s="1"/>
  <c r="C8" i="5" a="1"/>
  <c r="C8" i="5"/>
  <c r="C9" i="5" a="1"/>
  <c r="C9" i="5"/>
  <c r="C10" i="5" a="1"/>
  <c r="C10" i="5"/>
  <c r="C2" i="5" a="1"/>
  <c r="C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<sst xmlns="http://schemas.openxmlformats.org/spreadsheetml/2006/main" count="395" uniqueCount="121">
  <si>
    <t>Salesman</t>
  </si>
  <si>
    <t>Qty</t>
  </si>
  <si>
    <t>Ajay</t>
  </si>
  <si>
    <t>Vikas</t>
  </si>
  <si>
    <t>Anil</t>
  </si>
  <si>
    <t>Ravi</t>
  </si>
  <si>
    <t>Simran</t>
  </si>
  <si>
    <t>Text Join</t>
  </si>
  <si>
    <t>Performance</t>
  </si>
  <si>
    <t>Crietria</t>
  </si>
  <si>
    <t>Average</t>
  </si>
  <si>
    <t>&gt;=</t>
  </si>
  <si>
    <t>Best</t>
  </si>
  <si>
    <t>Good</t>
  </si>
  <si>
    <t>&lt;</t>
  </si>
  <si>
    <t>Dull</t>
  </si>
  <si>
    <t>Zone</t>
  </si>
  <si>
    <t>CITY</t>
  </si>
  <si>
    <t>East</t>
  </si>
  <si>
    <t>MUMBAI</t>
  </si>
  <si>
    <t>PUNE</t>
  </si>
  <si>
    <t>South</t>
  </si>
  <si>
    <t>West</t>
  </si>
  <si>
    <t>Anvi</t>
  </si>
  <si>
    <t>Shital</t>
  </si>
  <si>
    <t>North</t>
  </si>
  <si>
    <t>Priya</t>
  </si>
  <si>
    <t>Rajiv</t>
  </si>
  <si>
    <t>Sandeep</t>
  </si>
  <si>
    <t>Ram</t>
  </si>
  <si>
    <t>Shantnu</t>
  </si>
  <si>
    <t>Ramraje</t>
  </si>
  <si>
    <t>ITEM CODE</t>
  </si>
  <si>
    <t>ITEM</t>
  </si>
  <si>
    <t>ZANDU BALM</t>
  </si>
  <si>
    <t>TIGER BALM</t>
  </si>
  <si>
    <t>NEW BALM</t>
  </si>
  <si>
    <t>OLD BALM</t>
  </si>
  <si>
    <t>CUSTOMER</t>
  </si>
  <si>
    <t>ANIL</t>
  </si>
  <si>
    <t>VIJAY</t>
  </si>
  <si>
    <t>VIKAS</t>
  </si>
  <si>
    <t>SURAJ</t>
  </si>
  <si>
    <t>KIRAN</t>
  </si>
  <si>
    <t>LATA</t>
  </si>
  <si>
    <t>SIMRAN</t>
  </si>
  <si>
    <t>ANVI</t>
  </si>
  <si>
    <t>RAJESH</t>
  </si>
  <si>
    <t>Mumbai</t>
  </si>
  <si>
    <t>Pune</t>
  </si>
  <si>
    <t>aKASH</t>
  </si>
  <si>
    <t>Salesman ID</t>
  </si>
  <si>
    <t>Product</t>
  </si>
  <si>
    <t>Sales</t>
  </si>
  <si>
    <t>Shaktimaan</t>
  </si>
  <si>
    <t>Iodex</t>
  </si>
  <si>
    <t>South City</t>
  </si>
  <si>
    <t>Ironman</t>
  </si>
  <si>
    <t>Tigerbalm</t>
  </si>
  <si>
    <t>North City</t>
  </si>
  <si>
    <t>Superman</t>
  </si>
  <si>
    <t>Toothpaste</t>
  </si>
  <si>
    <t>West City</t>
  </si>
  <si>
    <t>Thor</t>
  </si>
  <si>
    <t>Toothbrush</t>
  </si>
  <si>
    <t>Batman</t>
  </si>
  <si>
    <t>Spiderman</t>
  </si>
  <si>
    <t>Antman</t>
  </si>
  <si>
    <t>Hitman</t>
  </si>
  <si>
    <t>Zandubalm</t>
  </si>
  <si>
    <t>Ratman</t>
  </si>
  <si>
    <t>Netman</t>
  </si>
  <si>
    <t>Aniket</t>
  </si>
  <si>
    <t>Sushma</t>
  </si>
  <si>
    <t>Kale</t>
  </si>
  <si>
    <t>Sanket</t>
  </si>
  <si>
    <t>Position</t>
  </si>
  <si>
    <t>Name</t>
  </si>
  <si>
    <t>Ravi Shinde</t>
  </si>
  <si>
    <t>First to Last and VC</t>
  </si>
  <si>
    <t>Wild Card Match</t>
  </si>
  <si>
    <t>Ramesh</t>
  </si>
  <si>
    <t>Akash</t>
  </si>
  <si>
    <t>Ganesh</t>
  </si>
  <si>
    <t>Next Larger Item</t>
  </si>
  <si>
    <t>Next Smaller Item</t>
  </si>
  <si>
    <t>Exact Match</t>
  </si>
  <si>
    <t>Uttar Pradesh</t>
  </si>
  <si>
    <t>Kerala</t>
  </si>
  <si>
    <t>Madhya pradesh</t>
  </si>
  <si>
    <t>Maharashtra</t>
  </si>
  <si>
    <t>State</t>
  </si>
  <si>
    <t>PAKISTAN</t>
  </si>
  <si>
    <t>SRI LANKA</t>
  </si>
  <si>
    <t>BANGLADESH</t>
  </si>
  <si>
    <t>INDIA</t>
  </si>
  <si>
    <t>Country</t>
  </si>
  <si>
    <t xml:space="preserve">Text Join and Concat </t>
  </si>
  <si>
    <t>Switch Formula</t>
  </si>
  <si>
    <t>IFS Formula</t>
  </si>
  <si>
    <t>MaxIFS and MinIFS</t>
  </si>
  <si>
    <t>Filter Formula</t>
  </si>
  <si>
    <t>Sort Formula</t>
  </si>
  <si>
    <t>Unique Formula</t>
  </si>
  <si>
    <t>Xlookup</t>
  </si>
  <si>
    <t>Xmatch</t>
  </si>
  <si>
    <t>Sequence and Randarray</t>
  </si>
  <si>
    <t>Analyze Data</t>
  </si>
  <si>
    <t>Map Chart</t>
  </si>
  <si>
    <t>Topics of Office 365 Excel</t>
  </si>
  <si>
    <t>Kale Vinod</t>
  </si>
  <si>
    <t>Top 1 'Product' by cell count of 'Product'</t>
  </si>
  <si>
    <t>Count of Product</t>
  </si>
  <si>
    <t>Row Labels</t>
  </si>
  <si>
    <t>Grand Total</t>
  </si>
  <si>
    <t>Total 'Sales' by 'Zone'</t>
  </si>
  <si>
    <t>Sum of Sales</t>
  </si>
  <si>
    <t>QTY</t>
  </si>
  <si>
    <t>Total 'Sales' by 'Zone' where total 'Sales' is greater than 120</t>
  </si>
  <si>
    <t>CHINA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</si>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</sst>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haroni"/>
      <charset val="177"/>
    </font>
    <font>
      <b/>
      <sz val="11"/>
      <color rgb="FFFFFFFF"/>
      <name val="Calibri"/>
      <family val="2"/>
      <scheme val="minor"/>
    </font>
    <font>
      <sz val="11"/>
      <color theme="1"/>
      <name val="Abadi"/>
      <family val="2"/>
    </font>
    <font>
      <sz val="11"/>
      <color theme="0"/>
      <name val="Abadi"/>
      <family val="2"/>
    </font>
    <font>
      <sz val="11"/>
      <color rgb="FFFFFFFF"/>
      <name val="Calibri"/>
      <family val="2"/>
      <scheme val="minor"/>
    </font>
    <font>
      <b/>
      <i/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4" borderId="2" xfId="0" applyFont="1" applyFill="1" applyBorder="1"/>
    <xf numFmtId="0" fontId="4" fillId="0" borderId="2" xfId="0" applyFont="1" applyBorder="1"/>
    <xf numFmtId="0" fontId="6" fillId="4" borderId="1" xfId="0" applyFont="1" applyFill="1" applyBorder="1"/>
    <xf numFmtId="0" fontId="0" fillId="0" borderId="1" xfId="0" applyBorder="1"/>
    <xf numFmtId="0" fontId="4" fillId="0" borderId="3" xfId="0" applyFont="1" applyBorder="1"/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9" borderId="1" xfId="0" applyFont="1" applyFill="1" applyBorder="1"/>
    <xf numFmtId="0" fontId="9" fillId="8" borderId="1" xfId="0" applyFont="1" applyFill="1" applyBorder="1"/>
    <xf numFmtId="0" fontId="9" fillId="9" borderId="0" xfId="0" applyFont="1" applyFill="1"/>
    <xf numFmtId="0" fontId="6" fillId="9" borderId="0" xfId="0" applyFont="1" applyFill="1"/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pivotButton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NEW OFFICE 365 FORMULAS.xlsx]Suggestion2!PivotTable2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'Zone'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Suggestion2!$D$4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Suggestion2!$C$5:$C$8</c:f>
              <c:strCache>
                <c:ptCount val="3"/>
                <c:pt idx="0">
                  <c:v>South City</c:v>
                </c:pt>
                <c:pt idx="1">
                  <c:v>North City</c:v>
                </c:pt>
                <c:pt idx="2">
                  <c:v>West City</c:v>
                </c:pt>
              </c:strCache>
            </c:strRef>
          </c:cat>
          <c:val>
            <c:numRef>
              <c:f>Suggestion2!$D$5:$D$8</c:f>
              <c:numCache>
                <c:formatCode>General</c:formatCode>
                <c:ptCount val="3"/>
                <c:pt idx="0">
                  <c:v>261</c:v>
                </c:pt>
                <c:pt idx="1">
                  <c:v>228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3-4C3B-ADC3-6014C657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8905151"/>
        <c:axId val="988912223"/>
      </c:barChart>
      <c:catAx>
        <c:axId val="98890515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12223"/>
        <c:crosses val="autoZero"/>
        <c:auto val="1"/>
        <c:lblAlgn val="ctr"/>
        <c:lblOffset val="100"/>
        <c:noMultiLvlLbl val="0"/>
      </c:catAx>
      <c:valAx>
        <c:axId val="98891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0515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NEW OFFICE 365 FORMULAS.xlsx]Suggestion3!PivotTable3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'Zone' where 'Sales' is greater than 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Suggestion3!$D$4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Suggestion3!$C$5:$C$8</c:f>
              <c:strCache>
                <c:ptCount val="3"/>
                <c:pt idx="0">
                  <c:v>South City</c:v>
                </c:pt>
                <c:pt idx="1">
                  <c:v>North City</c:v>
                </c:pt>
                <c:pt idx="2">
                  <c:v>West City</c:v>
                </c:pt>
              </c:strCache>
            </c:strRef>
          </c:cat>
          <c:val>
            <c:numRef>
              <c:f>Suggestion3!$D$5:$D$8</c:f>
              <c:numCache>
                <c:formatCode>General</c:formatCode>
                <c:ptCount val="3"/>
                <c:pt idx="0">
                  <c:v>261</c:v>
                </c:pt>
                <c:pt idx="1">
                  <c:v>228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5-49DD-825D-22A35985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69221072"/>
        <c:axId val="1469213168"/>
      </c:barChart>
      <c:catAx>
        <c:axId val="14692210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13168"/>
        <c:crosses val="autoZero"/>
        <c:auto val="1"/>
        <c:lblAlgn val="ctr"/>
        <c:lblOffset val="100"/>
        <c:noMultiLvlLbl val="0"/>
      </c:catAx>
      <c:valAx>
        <c:axId val="146921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210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_xlchart.v5.1</cx:nf>
      </cx:strDim>
      <cx:numDim type="colorVal">
        <cx:f>_xlchart.v5.2</cx:f>
        <cx:nf>_xlchart.v5.3</cx:nf>
      </cx:numDim>
    </cx:data>
  </cx:chartData>
  <cx:chart>
    <cx:title pos="t" align="ctr" overlay="0"/>
    <cx:plotArea>
      <cx:plotAreaRegion>
        <cx:series layoutId="regionMap" uniqueId="{780174EF-CA2B-40B9-BA4D-BAA05ABCE501}">
          <cx:dataId val="0"/>
          <cx:layoutPr>
            <cx:geography cultureLanguage="en-US" cultureRegion="US" attribution="Powered by Bing">
              <cx:geoCache provider="{E9337A44-BEBE-4D9F-B70C-5C5E7DAFC167}">
                <cx:binary>1Hprk6U4kuVfKavPSxZ6gKBtesxWwH3HI+OVkfkFi4yIFAiBQA8E/PrxrOpu66yt6e6xHVub/ZCR
FsEFJHf58XOO3397Xf70qt5fzE9Lrwb7p9flzz83zo1/+uUX+9q89y/2Q9++Gm31N/fhVfe/6G/f
2tf3X97MS2gH8QuOEf3ltXkx7n35+d//DZ4m3vVFv764Vg8f/btZ796tV87+g2t/eOmnl7e+HcrW
OtO+OvTnn69e4C0vtnHm5eef3gfXuvVhHd///PMPH/z5p19+/7j/49U/KVid829wL8o/0ASjNElj
khKW5snPPyk9iL9cZukHFGcxpknOUMryNP/rq69ferj9X1zTryt6eXsz79bCvn79/3c3/7AJuHb4
+adX7Qf3PX4CQvnnn4/DWws7b60ufrtQ6O87OF7/uuVffoz8v//b7/4AQfjdX/4uOb+P2D+79Ae5
eWvWl59G8/L2bpu/xuj/Pj2YfEhIFscxitMMoQSTH9OTfcBZlqUUkYRRjLLsr6/+a3p+XdbtP1/W
f5ahH+//fZJu/79K0vndvKj/ztqJoXZinNKcxAwncQ7R/7F2aMxyKByCCGVQYj8m558v54+T8tf7
fpeM8+V/dDL+uJj/HsZ++MR/EcYw/kASlOcEcIzlKEYQ679PRf6BpDhjaZbjOMszSn9MxV+g5T9f
zR9n4i+3/bDw/9k4tdf/nec/gagSTFKKGVQAwtAc/j7o9EOcYBaT7DdsYtBafovwb+D0T9byxyH/
9abfnfz9//4fffJ/WC308UfngG38C5j8X+vkOP2QYwJAQxlBlCYE/ZCNLP6QpCnKcYqhyROEf5eN
f3lVf5yX393+w55hy/+PG8V/3un/xoXKF/dS/Uqi/q7Z/+Orv+4c2N3vbv1HXOy38358A6KVIpph
aAh/h2zfH/RDSRRN8+Jca8WL+RuJ+N3N7y/W/fnnjH6gcUzjJMsIy/I4xT//FN5/vRJ/wEmS5ymL
KeBg8v3KoI1r/vwzpkDmMIrzPM7jhKUI1mK1/34JsQ+MZnn+nUrArYyRv3HZW61WoYe/heYvv/80
+P5Wt4Oz8GBG4DSNv33w+3oZTX8r+hxnOCfwQmiN4+vLHTBm+Dz6X3Et5w7+LbvFJ6rYEoUK4QdT
tY3h7ez187QaUq4J0sfmFpk1uVmawe8aNotzhM0dkrMsVIPkY5L7j6YJ5GrFDbml0VJs1ozXPoTT
YF12EzqkL8uidyNG5CTxWO+68A2YrOV1siF4ZEMOaBy+qnjLzi3N+GoVvl3SrCJTZC9dIAtf6LKr
E/nUJPoQpS/1Nmel8Lbj5raJ5PXUelXRKC7qIQlF/G1NZMMTlj2aOksrMlrDWRJN+9ZvRe1Tx9kG
ie5XsWvSQuj0I0vmmk962nhdk89jy3XbfPFLfZkU/USVUHskbVMOw1W6TIR3KxqLGI+a627hA1nK
gFtTNna+ZMg9NZndmXZbuO2OeG02ngzDfA45rrBLijifWj6O5mFW6/si1cLzXBe4cY/IBnWwaj9M
ot63YXxkY3scrSJ71tbFguelYLPVvJXOcWRJzmPWvSg5jWWzIFrhHp+Ti6nTubDp2hSIuGuxNE0l
B/1NAubsjSnV0Lxj5nE1k80UiSDpLswQycRH95mdHmo1ZOeu7otuXfUlrtOGx9XY0htN6o7rdK38
2pZ4syuPTb5fjFY7QTDm/TjuHNFsLwiTRZLTR+26nnuqWIU7Lat1ygtgCYVYVsEZTTYuBsx4l5Kd
z9WeKdLwzk6GN7WI+djkX4wZedt1LzGeNz7bbCjG2O+3LSoRHCGJb4lNeU9Vxwe3tTz2y1G6RHPR
tc+eyq6ctUo4awYNMc7FLp+x5SaeZbVMQ370ffrctPqomjw+LbgpHarVFV1wAVlebmM7DKWeCTqg
eHQVbthlrvX8FerjgeTdMSGxeZy6sSmTvtV3TLDbDuXkZCLF076SZBq/WIh4MyVjwSiqX6z4OLXT
w6K8OEr/kMZYfsW6LeJET+d4eplFTe+MUG1BJMF7R3x3drb/OtVxw6OGrMe63pZCURfxeXN92Tai
3k2ZSjkjUagyIcJZre1HSzc45II1H+1m52Ic6pqTWmyHfuvGU7S2iiu2NLweZNhbjcomh1DPeHga
ct6xGvEml5WI3Vhls77q5EEN6rUlBu9QrESRhmwuakV4EOabN+EamN0lhwhxk+iS1W1ftBmOiy4O
1ZD6g7YtF2ttSzc4Wox4KvzsDim6WTJ18Ejs4ejzwTjDo94+TNvY8DENB6bbk1ZtOFM4oC5rO3hH
+ll1pr2r2cBNk5Oqcardq4nGsMFec+9Zflqtvo1XeH/KtqHa2vF5brwv2tw/ZzppOHOb+pLg4HlN
430X1QO8IV5uZJ3f58NznwbuSSMfiLSUs3STh5jV5ozxEnHhLhaAgWnU8W4y+8xEL5pE5yVddmEN
irNeSO7z/tJ7fNo6ciPbEBVuyx13EduP+eB4RLpC1XVTrGJd+aLN0ybl1ZAeW6avFqwABB1r9pGY
eTOHpyn15oBay04pm24iGotLo9qVt1SNh7HeK1snVyEPd/1a9zsLmcuZv6nDicDq9kuevOaNFDc+
Uuc5o+grM1PKZYjPDV22A0mbgkx2K5uMNVygPhy1EnfaJvicLf5exuXAkLke2XTqGOuvxzFnhZDD
BrjcjTzaandUJlyIoq9RsMcsTh6lyz+vI8aFa9IzaxKulFFcQyfjbfNGfGN5w4aeZ1KHQqBQ6Rpf
pLczD7li5dbsVeKmnQxzx5e8lrw1t3JeaanTKdvVw3Yac/WaeXw3DOMXM89veOmupqsx6V69cDHH
VtXF1DzH5KQ3Qq5RNoxlyE1WYOloFVQmeQeYdc7GcDUQoc5uRrBz6eLCo82W0kMaCKVZoQjlw7rh
Yy3qJzv3E/doheIRc7/LnThS0Z58Kgh3tn6b0+09LKHjq6RcxAo+rJeMN93U83V0x3nNWDGnyJQk
DNwlb1uS8tw3K8+28M014bgg9dQhfEcg+HsbtCgk08UYha9UTbpiQwrPXP0xl6SoOxHxRNeyEPEK
TSHNHsW2kSrtN2gE/o7YMeII+acodwfc+YUL3PLM5YG7tJO7zqcP/aTMqc6WM4umvGRT3pZ6Eh9F
O8fX69C5AtN2rIampVebTK7iTJpDPSfJcTTdWaGpyPJkeeuIlJxmYzGOmj6hZjA884v4TFnZyGs3
zNeOanVnQqq5yZrlrNV2h9ZIvCc9OmerJCWuidvFkTuZlpKTn1auQhRuR9euByEWts9zaY+KRLBl
Ief9xjZVjHlS4lQn1/T7DzTV9JpA+tfhubZZ8+Csr+YZOn3UQa9geKoPM0pvs2lQZ11rzcmM5+M4
DFmFkkEdqByqMKv8Mk5tV0xzkh5qFKYSJco+2bRHOznZZqd1Sg+pmXwlSPy1WdHwsDTvYx4Rnhid
XidLvPFGNXSPsmndCW15hrN6h1HXnSM1xJeBxaFYQ/AHACpyZmtyiNvN7ZKlN2cd0duuzvPzJsj7
vNGdb6ahkH6ODrFGgE7riq/A+NhLou9y1G7XzNxMyPlzsOObl7k8QZsr6na6HeoE73LRfe3N5zXe
+ns9F9Cvu6vUiBvrp+QwzC7s4z4tpizt+KaGK2ga4i4WCeUQ613r+vSqNkl8myTqM2mGl25q1D6W
ky9GH7IdWfKsEt18D9ImulF2XYvcbyWCc1VEsfEn3MVvyQ6hbTno782v6EjEwU8zzyrxXEQzxEQn
iGMpnls8mnKNkrL2Iis7ZvLd1BBcBcq2Uvt12tusZdxJbAvITnS2q+v2vtaoiuLpwnxnSmzGrpjz
dTvnTfzVDpvf08zrs8sFQJm0hYzNUuaYRdcdIbchyobTOvbihqYXY/FQtem89/CaCzQwcUqF2LVw
Tqo8lgtf67SAQHI2s68yji5O+Y961XdDv+2UkFd9xp4SPBTCfO0WUbZ0PbjUf+5l+gw0qQPYiEPp
ymmZXcXoe9uhuLLT9EDQQIqQpaxoPRV8I2Y8gtuc3WK6VtSmkg8BKS7TQRY57dFtHmEgf7O49Hoi
heyX+2kDsjeFur5WdXZnZqnvRo/taaBNz2O1oB3tKS27qBMPBP6UtOExwfbLxrJwqmnd3OY4/wxW
9IFJ1H/MNqyqobaqxK6vq3HuoHRDFFV9P/lDHrV5wYYsq5q5vp+TNr2FBn4iObrWIZ4fZiGuA/DE
izGxv5G5n6vVrhtQWAo9YMrsPuv9eL3kEO9opqLszBDdOq2+immNn/NBXepmtleLSOzVFLXuSkfb
G+mmvFp8VMY5mz72YJlXagmCA8Ocigmg8U6QJClkly1PNVQEH/oFnVCkHqfgH9Q4+9JPpsB6vcMp
uZ5zBPgYKVm42b5nEO8SJ+ta2rUduBix55s0wNtZ6aOkGOfnfhknvgFhiCLgkmNEL+3cLsWA8sd8
yCgQv+YLFiPlyeYqt8af+3kM5dqslieSNsA+kyeczffbSoGWYwOSE7V8ievbuI2vgxsf63zds4Re
oWXrnrqlVLHyZS8Gd85MwEXNFqDtCvrKADR6znt1LZh+AZuzhKb0zqQzlZ/xxJt0uRriaTduvShX
SvlmxBVuw7d67KdiYf5J9csly6jjBgRSl1B8agfyahs2FjOm+3Yac07FBMRwmzTUawTED2VlPy6s
IKt8jiLb3j7lSSsuNpPNfsqhhomdfYEXNFfbOKY8sSYtmzbmNs/Wo2+asraGctAVpcdbdh0FDvDV
8KFBj8M6Djuczldxa6/s94ZZY32VMw2RJEB2BciJQNSzqx2U14yBJAW4s8ZVO/V3xDHEra6fu8UD
900v7do/dGg5KdY9YBLugfk1+3pqi7nBu6gegRgBU+uWcElS/8XVBOhBvgHxjMlnAyciwtHwKe3y
tACNKe+CaD/SqXV7pDt0CMsyciDwgCXbnO4V7WJA+XLMMn9pl9ztPXMPSTBLz1Hvup1sdVdslPW7
DMD9lI52uukNyFQa1XMxiCkqFu3F7arjANHBgDgTDuc+PceuJcUkE1wMis1XOkw3LMFcaitOBlrW
vsc5EAKRzjc9bW6nsYsKT7dwG2TvgAZ964clPQ8iR3yCFCdRm5UEofEu+f7D4OWrJigvGt03PJ9F
w4Nv0k/jth1MW/vrLE8fJpzpG5XLG9lBFcMJnC/DQo9kCsmFzmsoqfS6xD1adt4bwK5R6MOy1AEE
QHql5iXaMWSHGz0nZ+T6r4Q6/+T3bLLoCqN83c2L6/k2Jw8mRUDaoy+B4afFYrgAmqLT65NMmpcR
j1W+xTOfG/pc13126GJ2sKjfh3SRz1KkjPcub3Zs81cBTJdLpvcuS7bTtrjrWvT1Pgvz3knVXkg+
8FFkY9Xlw1wNBkgzncJ11/mowD7Yw0AXVcwB1C1FZj7WGTnW3TyWM3g6BbTNePp+1C9aIFzqoZ4B
LWJ1xL2xu6wBuQPisC0BSpaHKOk/Nw1R+ylqntvvJ3Ma+jNmyPOgUHe0sTaViqw8RXaj3BqcVmgK
225sOsTjeIy+ejGeMHSQpyRBrOwC8w+DkZhjvB76aFlLJU04SZC4dgBFxUQECrzG5oyEOckarItp
61aOm41wRCJULIrKYx7PZdSp5t7Jz8OazpVG0QzQx64zQacjyYZ6hyQSPLRuuYqmTvBRMnNtu3DK
yHyW26gvgwvhSgoii0BmHiX1etHWN1WczKyIgnE3Lh3DGSXRFUrq2z5dh+t0G7J7lTSmqlsvdyNr
XtpEJLeDmBUPda4+mTSiRQ/0ft/lRFV2DekFI9C54J69jEDgOa2dvCXj4o/JtkJfAs2/r9MpKnXo
cLWspD0ngLcuTlbJl5bbMYDQIE7cxMR2JSFAFhymG7SCyR1dKq+Ma09mqXne9snnNB/2Ag5L0yl3
tW002UfbNpSrrik3vZlObazUMZuTlxCT8bIgw4okzupqYI07snyfCpo/tg2Od7SWGU8caGIZsP/k
ByjLKBqmL2oOxzbfhiPMd2lldPPWBxWdJmHhcCJE88r0W8JBviE5pV9W2Q47s9n00IOVCYWeVG3Y
xhvb9DfD3K57ufqMa4bo0cSg8BsFVsjUB7ZP135+DGu1jmK3dGBhgGoxPJkBLpPmZmwBfMKY052o
ow0aq0CVzKOrfpXosoQ1OxkqLnL5bu25dTm0GCJJafSeLaBLtJOMDyy9Ec7Ksu+BlLahCzwhyoJ8
ytAZ61CladefwGvqd9sEIpPoPuZiy/ob8CLuFPgLfZf3e486d6qHkZWuzodyiKkt+6SegZ02MdAF
4g4CtabqV0yLhppQIg0irXXpU9+t5GBbcAWyJoVwyyG/GLBmRK2iQy1U2FOaPsQk6e8Z1DSW1ejn
9b73EryIjbXnJvuIoKrvVwsGX5QDkyRm+LgEdarViK5JC66RrSNRpnK6MzHIyobU9GCz8MXhxZ2d
D2QEZzBTZzhe3vXoqe24YOsLUqsFTzDsXcNAnXVFvE3dgxu65Jp0i+QxgP8laXcZDAYAp4W8YDfK
yyhl4EBDxF7Cc5MBjIQ6m64oanc9o9O9p0vRRYn4uNLvEg7fzzE9thEmz8Kt804RaFXr1l2ntKYl
Q6B0FyOySq/2Pfq+o3G+WBTfSabS/ZZafx5af7O2ge4bVUPFDMDc5r6vZtOYYkxixxPcsb3sIncL
M7wDC6Q5Jr1BHDjReqRZAwTZrOD49QY+2zJzaWW4lRGWnNXTwLc83Ida451DWznYaTfUbOZAWih4
ovHAO4hXEP29kPKl7lh3EfXyFcf05DQ7G7+ct0R+8dtxWvJXrQZfxXp+X2bbcL0s8hgZdx6UyvYZ
2cUUiLBRuOFtTWHLGXyXo33efHRLBx2Xhtm4JN4thQvyTIfwcZXQdrFhGGwmhoFf+zvWuaywNbgX
krY7Tdq26gEG5jEuvi++JWs5hvF+w/ZeNPKkRO6LOYpfEAhoOJLi3vX9BUdjVmykBfsyrb8SE73N
fvQVDIE+t3Wn9vN6hO9Y3CRLfYOcBcfYoQPM8Nyhaeyeba+jjVoQu23Cw7AbVRofhHY3W9NdZEdT
KHZRNnOyN4zJElx+xFP7tqRAe/O5RWWrmrREGO3adIrB2p5X6CnmIUdbleTz162J+1P/hY3RLZPj
wS9DKIIzSQlSKOZdhHexIfeLM4AVIPTA9Ug/W7FsRUCxqGJTF9qnusrTbLdk+S36NAjTX+TKOh5r
cozsEHZdom48rc/gwRTKvzXj65iv7TEV23UXffMpUJu0Y8Uigb4TLJ56yT61U4jOMh0LS4akhFe/
bBqkB/h+YG5NzdnT0EMzRVFltxldUWmuCa3fWqnsrRxd4N0Izjto3Klqe+gD0Faaj92QLryXYyFB
hZybfqWFtJEtLVvX0/T9hxzFEStQyJkp6x5U6txIemZUgxZHJZ4SfWnyT8mkxnPP0hh08fills10
wmyG9pzht3zWpDJz3Z5NPu8zSz4uM4FyBWrmwVqBLywhHsZsrig4LhPtQCNnm9m1K6kLlvQM2ms4
p5t731IQBgE/5rF68eN6SjG+1DrdCpgsHkAnET6t61WTrl/qZLoZcG953ByBAl47kj1tSN7Pi1wK
adjV4sPLOqm9XLLnlLLbZtmpzd+O42tXfydpg+IrIfUuwOHpxvjIINJTgl2Btvg16aWtLAr5oVaQ
6G1FHE0NuOwS8EOAORo06Mk5g8MBh7dB7Gs/zgyUokrL1fv6ALh0pJqB1c9GXHW6/dZG+rmbYZ7C
Dit98hGDh+GPalsqazyg9CQoWP3wQKrFfb6yhxR3l8yNzwJ1XzIy0V3s5OOUZzeNzIpmxB83kT1E
BFT6eaLhq0uyT33Qz2ZbmsINwMQ6wBdckSUDD9r4CwWEvwb/0KIxK4cAcCAK8KPqKo6EKWX6mA0w
XXLJ6qpmRGXm5547MtzMIRp2Wzabc4ayjufxiLjPonAdG3AEtQNdKpTNd4nCFry9LDuuwVzAel8e
TH7fURVxLGh9rZF+JirBn2BEJ8ANsK866emuU+FNqLTdRW33YsfhBb5w1H387AiwfzlNNZcipNfG
qyKk+CVGmYbAHZBthwefd7z3LeSgCds+NFA0WR4JjgBVT2paVjhLQBYiP74hp8kh72JTITTJiqnW
l5ECKZNjUPMzIY/a+E9W9V8W1ppiWMaOk+E9GoGmOQuzoLYDu5JFo+EC7LPD4lpR/PpQIqetWOU8
XSvf8C3LlpsGT9DV1hWVAwEDs+4IqIwIVw6+K3XYdHuwYsMXGHjuTdTTM41NxHhYvquArq826Mww
T+ovAsxY6mB2As4OhGO9Ni3IzNlHlzYxLTTlHgZhbs7OzfTU50PVK18l7RYfNxJdjx36OCSNuFrN
eoGpiLxaVl2BXEP7YGHGkuh0tyZrdp5scvGsTblvWPiYZ+RaTTjZLzVCJbj4TzhE8mOyElewbrxO
QSmd8zSyh8nEMN9zXdEubihrSXfDlEOLAQZ6QJBv2PLqyyYdRFHTxAJD9uQI53JPYcRygEntq1t0
aYfvEy7Vg70K1n2R9xYB/LPdQsbD5AJ61lJCU4jzuzSlMD5UWF8H6x8NTIZPwS94H7sJvKkxvoLG
K+9zTd4UmfNyA1FdtLF/Ck3XPJUxU2PRIxhIjKID/thm9X7ovku2GHA9rbNvec3AwwMlaud6e+s6
UMWmKxDT66NxwOu6du5A8ERqTybYoqYJUPYeRqA1mRG0Wq2qfnMnMKcsX6QwBwjeblyne7Dy61u8
JTnYCadxRMvNGG3iFJ1sHwjPVNNWjWy2KmRmPy48UaAY1Nx9xHPITl0MAg1lFEqaxd82oXWVahgW
5Kq98ZnpbmHM+DQRjy4mJ4bPI/pmR7GekxaBCyP9ycHIap8mgDiz6y/64s2oPsdj/KiYr1aT0E+s
xk8js2kFtvt4HLUHeTWN/tTBNwcqkIpVF/SFCrmVyzxeouXI1haGx7I/zMbf6QZtV9Ymjzad0C4G
f7QGP/kqG4fzONCvC171KW+Dut26U9fW5NZ7eQ0WIjnROQ+FSlcYL1ialzZP4iqVHfgnCGdg5E9x
QcbpW6aX96GnqEKk2e7nOfuEcvaksdxuo9PaMJjzWN+WZHrsx5gHeskYcHy30v7QLj0UKaB8mbjk
RRBQIsuovi3pAEypmfnkddhr4r4JH8EwcsiGfa/ipGwRYsUKShBstWkXcpkXMLcp22G4Swcm9glM
R/hWTKQH5x/a2l5sCgZIfijmidhydDBHjDAoYw0efb+Z9y6dkwpmnlkHM/G0JaUV1hRh1YFPYyCH
2tX7eO39BfwQDabIuOxmb3YdSqaDdxOvVQyOeP+dIOM3N80gT/+DmTNrchvXk/0XGp4AV5Av88BF
u0q1usp+YdhuGyAJLgBBkMCnn1T1WWfi3LgT9+V2dKhbVV5UEgn8M/OX2NhSunhodmuQYR2PESmp
OB12MT7wPJhojXjL/IqyrcqatKncmh1Fm9GjR69DNOrCsdWv4FIedHgLvT47EGnnZ+cN0V7oxZ0b
b+fEL4H7/iVs32MWxUU2p6cmrvt9MI4i9+vwoFqh8s12c2HNdnSjmQq7te9KcFt68LKrOE3Ezgtk
UM612vIQ0XTjMblPsnDd9wSGlQ1sDPNC1YfeJ03uVlYZR9UpvluSCSFnmA+IxjR/9jvI9pi6utQQ
yfkUZT+WBvuODxtKhiOrVEISyDLCC2dZnde4abNpIPukc7/dnW2o2wBilwVYrTA8bzHeKbVqr0qy
XJIoeg/7+IRJ7udkVgdzFHbVlkzvLBu2y4q4afXhFA2cr28iNdeK9DJ8mUGfnQA2bMU02nNjI0x7
mqg9XSR9a0X8h5jmvF0aJCDkhTHET70j167vvnl6+jK4NqqWBdwCkzCNsnBedrKIxgFJX2hBDwzB
WW/irZ212DtY32AKdqlqgmKzvikCQb+POxskqpQRhTUIXiNLm6ZYRW+uk9DlauWPxeEWrqFPNt4P
pWa1KbuO7jyvDwovmxBHju0pHVVfKKpeYhtjbPCzNFd+9pGuGM647N/u134ueN+U0QpqI/0RDkjy
2qGb84TZl4mEP7K+q8JgGTGRtabctH4at5kWXWS8vazFT2qnturmKQ+a+kuUtusTa+U1GXETxAwf
ypxpTFowBSdy+7zNBMZ+vOj5yCdiy4hins/E1u7GLtx3LIyuvSHrYVV1fxQW5vD2JaAYUObJDcXc
wQs0qmSNPEd/qh787TONnldlbNktVmHA/t072Gzbyqd8C8mYe419jzvS4nJYl9JOBku5yzAtNWKo
YJiemanTazd+IJsP9rPhv+zAaLV5GouGRWDTkn0tbIJhcj1IN9fX1Hw0NqZ7v4/DvDYYOLyRZ5fO
II4lsM05mNBcT2bYdRbMQ8jqk8ei76FPJVKhqD0jDQqKGXfugSU+33kDlufQn+pqhI1/jo3qrt68
NZUxrXmnk78fnSx4I4IPDDRkJyUkg51C/8PLyOO8IrDqm86WevHml7kPdvixf9Qcl0sEE+AWbRs2
i/AEu3B5DXT2ICLuIfHY2F7Q4WW04XzKujYqRdAgjDTU3TDpPsxRk+1J1zbnCRN9Vs/bC/d6XqYj
PyWhGK9T35azavWjBt4ku4Yd4Rp+4LdjQ9FbXLEEl/+6AJRa5qWMIlqfFJXL1WF96QKyIsIPSWVb
BoU6Yp5M3Hb9fIi6dilAoiNjWWroSbyZGZYs2wTpRaXTWJCZI9deMSVNNtmHWAYiP3BPtiZvpJvH
kqzTsJcMSzyF1pB9E57nYPph4ro58c7MTzAe99pE9LoMgu2l07A9F7bmm9B74qL1eR5giK7Iw2by
ACXAMWNjlZe6FHXnX8Jues544q4xC/oCU8hS+nrTu5qEv1Jq2qvFfUItlnZ/uC8ibC2FjqfLiDw2
8f3mOsr+2kyYSYVzQZnNy7aH1b2VQ2ZOfqT8anAReYzGRR57gjGu2dpKZH3za/SyLwZO6iVmnJWz
DMb94pTLQ5GeZs30cWuyJy7HaD+FGrNtLG0lR8Saa7D2B2p6XUzY4I0LwpszfK8T1+ArETkYSenR
3I2n2oBV6DuWPnp0/g0aISgbmCVlqtK0nD0VVhEGnEqsvS3HDiFIt0lVhRnQrKadnnQ2wBPr51Pb
zVEVtoSVVLHx5MZ90sTNbW0DjN8LGwphlubmNYs54MN+b8kMpO7+0DB1lDqaD2noFYmmBl4oYfcr
E1SJvHQZnQ8CFNOOryAEeHDto1Z8q49MjVvBaZxWDjxW0scYekI9HoYa5kfXdt8wzHaHzgqTp3cO
poWOoBtLsPe4bacQ0yZTQ45R3SPClV13qpnmRawmvLX0QwClYqCfXnWD22QD1sFq9sPKa9BlbyBO
OrjsrX+Fy0kPXqZM1arpSaSc3rYtjh6Xfo72c5aUSujv8D3n6zCETbkw+SvoSY9Qa83KrgGHgjVk
ui7Yfm6qG0p4ie0lSV2Wi2R2UPCdOiZbitGE1tB0LS29zKOHuk6GItC1eqe4scEnin4/abKLQ+be
xqU9J8TrDhtBbND09jGoSXOQckRI22lwA1J5mPIjWyTNclVLEMEPF8+8wbQ8+7PZyZ5XYxLbKlww
Ys4+XLTeMfgmzkeG7bmrsD08rsGlpRfUXSUogm8zzfUplaz/Eo1lC/ZkitoZUNYSFVClCKccXo3O
mhOZN9BQIT69PqZTBdtR7Iis2SM1AB4aba4u5M8ekvkja/p8Fp47NGZ8Hv2kPzWz+7ByEnsbLu0+
6MVXOOdDmaX1sA9iN1wDGNjaX2dkMqPdKzL15eQ44kY5qsKfnH0YVP0M1lGflZ0rCXoLCpNcJFFA
Bvjy2jr5O37StasfWx4/tiq5axylXqNl/Tk05uhg/SXjULJ4mwssomy3jNNvD0O5DuL3EJzTgbc9
gCGugbV5X/AJQ4dxYEthGuz7FWxA79Xv0HFXmS70VMMM7pBL7+YmsEVax0eJMNIOY50ntB0PS6Su
yh/5TdL42tp6gGhxtJqfoybZdeNUznx+qEUSnPEOS4AnFnRXlBTeotKj7g5Ct2OuzY816+F1Yv90
c4u3A6EnF6aMEEIWqQ+Ea05nDIcg+FTsLoQw7EjUwdcU/looyfwyW4fgkM3AS70Mm0HdLbnv3LUd
NpUHUNO3pIMh5K+7mTen3qcfkSW0bEY9VNMifgcZJgevBprpBeyxc0NzSTJMSQ3QW5eLwd3ZouiZ
23YfDpYfJk/vjJlApNH+i9fxvHXNz8H549mzuVyxD3CXzofY44d2rf1yjdtXK5axEBa2/lxvGDq3
75luAU6K9SKQYpm+zoNx3icTaIZ+8YZc+iHJjWnGvLXevuuXcwNiC7fXeWReVMnIP/rL+CVTEbTS
H5Fuup3Mwm9bqHYbBEyFFZjucIlzEu76yIAOTU27U6heFZ3c4mIBjMmbrVzwAZeAUzDeRvD94w6v
Cu6YsEqdVZv9EcLcvvMFv8hKvR2z5j1uPFUixpcwguemAAJpAAZzmXut/zt28cm5mBR+v6VlTJK1
qpYIb70V2ECCJXSn1D5Iv42KJGwWoH74OGcMVZNBBtMNj2swgxXZrYscD1kMxi3SY1nHy5us2/Cc
9frHOPYlMvMdjcdnDGdJMdmmvyLDxGTsoGEnMVWMp5e2rYNrF8NTJk18ECKDVZJJUwh5f+NXMGnx
jJES2YSA0EZ66ChF0qElkgZQyrI1uRutLn1Dd8wkz2HzzZg6Oi8rpnyBiLJbl7USdWwxtPt1zgwY
3Ux14CMy+iiSEN3Gsf1OO/A0oY7fl1Z997t6RygLHlqr6pfFZUC76PiFwTsYkvaQcWXOtSY/wztp
6Tex/JrW2PGWPeaa4UMpqNHOTWC/RHZIoQHKJM62AzcpIvFQ66rDB1z6XJw70277OTYx7HYYKTDx
wxz+ZVRFCpzkSjjcdpb08I+NfeKzdhXws6D8fBrUiX0KJYFFVPceKDXkK+kwTpBc6cuc7fmSmj8S
WH9BgMwiDoPnjcRnL0W0HFn9QqmGSazOzST9sz9lz2vXD/tErX1VJ42oQgIediKYaGCgx3LsvocQ
GSQqQy82v+O4ybGNQv+7/QjY9hxvqTqMbV1X9SQuATHDAaB8ntZKHSaLoXoaH5jL6oLBHyyWKTnF
vjdWq0bi4g2sokAUYGxge+njN+MAj/nQs978uxkVaI7pGoThcW384LWGYXcCKI3Ffhumt4V54MFk
eo41blmr2/4WD2CyrZsqSdL0YLvEO9YhEKM0SaqVgqiKU5Lu+OIuWwD21YlxffV72hXMDsHRDgug
msjhg7HSO3N/0qUHW6UIa3i/Hoa4vIW3vtf9A29JdP58AFM57Lk0L01EsSzM6RWSNzyn4u4WWSSn
/1wV/Zdiw89xsqrBYv9nz+HvT//z+rfy72d99B9fvzd9//Hsdezx7//xl/zbP+heVvn7n4S//q/l
lXs55F+e/I+2yr/po/zZN/433/y/LatEGSpyf28S/4+iyt86iP/cb/n8LX/WUyj9SwhSmqCAEvpp
CBb/b/UUGv0FlZU0Jcm9zBqF91LYX+spfvAXik2WZigwoaqXxei6/rWegpormpbo9/mgFjIaJMn/
pp7i+/c64L/UU1DLTGIf5U2UaJIwTPD6/rmeki2tt3adDyFdw4U3nF/C9z5c62uPtaWo/aUtG1l7
1zHxsVC7yD90voB3TAXySv3qgMqfGv7axONYRA1SnnQDP6e0DXI1QIzXjZjKGpHuQSbhO+P+Ls3G
7ZSiT5Ovc++fwh5XLJdNBSIfRIDbJIaU4RSQ+eytCGRTAuARkpVskpUeTYEHWAMPotdPvbLRzSyk
AvBZZpF0VYtMfE6Z2qEeCVkxdDvwFeZRTwckcM1ZUg1fndTFKp13nlpR+awbL41krIjWK+RGdFBO
Y+FPZfMG4WiCaXkFOf4TcAy5hTuPdreFuvldxRB56IXcgtFnB8nj7rWd4PdCB1+cxEgzdFN6GAiv
y41pdwjC7BmeQ7wLmYb8GVgP53niz7MHWgUe3JPjM4ghgqIIGKbpCUzil3Eb+QN3W3AaQKO6IOgf
RtVhpyJj2fFNPGZNDXcHeu9gatlXgBwGILcTfDMP2AYJYDp2PSEn2DU70xvzDJ79tNl3xNTqnavh
EfYVB48QDMcRYCMQEYWpLla6rOEK7hgoWq/DGi7TaEEsH9CCb/FW0VAeVxAzX9e0A4cpgrOJJr4z
cMLzbGzDU9DIywYl/tEH4MiM2UD/iSB8W9I0h1ZmH5uN1Zn5cF6cPxQZJuxzfe8vZIA8ZTvCUQii
N5QGaJGMQRlh3b1JwIuFbbxz7PP6bOoNop+v5xb9v3LKSEFERh58jussyFRyqsGKYttKvxDq/Nud
B7umjHTPy2CuPYHSjaiId3Aup31gmq9ZCl6ti3sgjfWbNyO5c8bcNhJV3XO0rcNXjuml7NIYvEaj
d2ICfZxahkZSTK8xGP+DJuJlG6RAvgrKkFCoFSWa44hBab8sGCgG/qMztC7E0GYl2zpYycTfLxKT
kTAyPoVxek1bp6B1G3eRQFEvArF16KGZ4mClFDCy2uo662F7NWadn+fAg705N9hUwrAIZwAHY8je
IyMY0okZZSxQCHiBar+KsXvwpPgas0We+g13Bcy+RwD495ABcfws8ekDnjDvYRMXVLr0sjC7PgyR
s/DC6pd0quWN0ImVeoQyiLrsD0Q64zdr4HSLDVNEvGi6s/exrR3qe1Mo+AUS4p1EQ5q7jXinLMB1
im5LstO6Ta+bx33U0pLHhvLuIZxJ+OILRAKxLToq18JPNno23uIjLmUT4kTAk4MXT8fMZf55jEAx
QKuOlT8E5OqgRU9g9vZsgMbQJomO2RSElwBA3m6Zv6Vet9220aJ/N1pv11uts5xSwlHLAISOtEvM
5FXe99R549HZaPiJysAe4b6yhdcaVWGdHk9j0l11HJorRRK3s7gJQQfKPNm27G1wZt6BiniwbjVP
qcQL7uGFHfk27GbKwmPAhbcnGE52UWuf6wWuaZhANOoUbS2Nd81kzXbSAOOObORPJGHtIQU/pQN6
rev0tklPA2EDlDdr/uDVaIp1Ufs9arfg5i2ZROEMVQAKQh69n6SHpei6itl0A5pzB9cCVgNHpPNu
Vuba+Ft26Or5B6jbrDQZsiWY+95Z+fLSz7R9C3hjXlaAIt0UfWx+zK4e6YGY1QgThfKKLqB2F8dx
+LR4GuHSEFzCGe2uRLBpn4r1hUdse8zaDZsFEtsCjJRfAOcdn2qahEAMLjwJKMyx+9rOsKXYdpB7
+AMTDGIB12iM0huEMduFdwCUoMJy7vkUli1dcpFZRD+9GEG4YNru4vZjGJdXShQvRg7RAeI8nwca
vdadN8LX5LawdW0fVhlUlxBg6FVz84e/bO5xVt1zirwoD/W6mwzKMd6Gvs0AQC+6p8yduf8JJkJ9
SwE9XfF+V8lg0etqXLOH5sYc160fyTSGX+PVXuqWda9+h4BsEk4XYuRwZWbvsPrMK63fiB31ElJS
kBYlj7zhGHXhkXWBPko0NhuHEGFFP4mEpr7d612OEvHWwEY1v82G/21b7MlZtnW3vksuQxzCN+7B
NckFprL0zHjyU5CZY5scxMYgHCSaVW24QNdMh55WXqAjsK0FDtro8mY1wesILATTrFdlEsrW+Qh+
dZOtFbyaACyRqvdbM6sKnQfGaqwktcsB8UTXOrUH3+KKNwR3yeYnEBm2j0sEjFjnzHIwSzhdAaGh
6QKOV/oHD/vRZeoAxK9+gM2K441YZYj6lMR+uqZFy4T/h/8B86MtUsI0EKXpKcJPiwqMTXI1td0N
XFHV6fmq8c5ct85+G3r/R0PoCoU2zLvea/ti7pPuYvxl12f2O021PtZ3z93fxvXFLuCJWkBZSWv0
DsHVT2+Lf/Bk1iWyWe8SpOGTZm34mG4YF2JURat+wY0sOgvZo4UsI/oFO1t6IR6WlNbMU+V58Js6
rlHn64DQulRf0BZNSgQsFJaRSU4BO0Q1FQWR/XQCWwmkCLBBbuFutgCSCoOL98EKQNSbwNfbqf0V
uoCd2nSghzb1RBGO8zwV2Jjn2mXHLg2HU3N/+Py/hSQawA3ETdrAOUAN8HkMUNpJQGocLY9trtnU
3mgUHf1t3Q6DtstuNia3BoWcIIXHGLBuqIDWJwWFt3r6RASt5uku6GEUrEs9HDbXrJBBbs0FagW7
tG3UPoMrV/YgNVEKqBn27lYdY3Q5S6/WF7RMwYG0HWqUi0Ewn2TuiO1ePNRWCegflh34pki16c7L
OfrgZw8/ztNK3VOH2A6I6jDtTePAHWmjwZErs6Oq2wcspVU/RsthmQl/CLTJOyLK1evtoYmDMUcV
0Z2HzHsCThMf5x4xl0IdxY/cia1ecGSpkzsvTZtS+ENbrjranhCKeIUkgwT4htLkNtZuJ2fYk0Ql
cJcm4y6eHd9cm4CB4dFvzy7rzo20RjetwQS93pG8VTHQSezQCgsib/yW0R7Fo9nCpUjDIBcGqFxU
O4BPnMkHD+5bGur5PAx92cvRRxLG48LvRnJxKGn0ZmOwx7K5XAxlNzaA3SegxFApDqrEQ/HAYQvL
x3RtikzE6xkjSgNEV+Ol4oyQfSSyxzoMxBuJCWwM5Iz7Lp0RWym1d6E4+0GLYTkiLRzTFqgJhy4t
ST9EsMpqMJLZwqq0R987zTpAkGEzvjpqzSWbk9+e9BEUc9ufB7ivLw52KN7QQmIheJjduDzUW/9I
SNyVQVYvO4xy2VNoJngSVIdn8dQ3WfA6r332Osrk3AWDeECIX9g56N965AOD95yNOJqKT8uNk3QP
oT8VcRvua52M5x5J6yvHdpV3bIY5CrvwlQBC2hFfIoLWVB98kNhYmwNy8wa1Y8ibhiJuwqkMsN/s
mBL1swsn9TRj8zNyq58/vyQ60lW4MJPq8ynDlZrTYU12vkWhj7RwyeMgxe0IGqrsLDmi0Qtkrp+D
gseZKt0YF2EoxQ+gKo8A76cySbLkODmCQnc6eCc2r9sji0KsADbjbx4qybmuOUezxoyPDoxc67yK
p9189NFTPvgyxSsI+CFxCFCxN2Pa2lpgg4jfi8wt/huNXZL73OLzVgp1lSj5qtzyEorg69zXdv/5
V0CRXFbJ+9LztnOzpqjMrsj8Bk4etYjWyzRvqlr7qVISyOYYH6ZuD6PjXYvwJ7DkCCVD8i6zYccA
YTXjl7HFYsdO4frVJ/Klm+xjiiguTPmL4XACIw+dEoQAPvPzDOgMuDMFlx5ba6vCn55Cv9cse3/U
e4XuD6+zot/4sY1R2Y8sOiES3tk69k9mQwkQma3OWzOoZ4wd8lnOQ1zwHuPaP77mQZDC619uIm4y
RNb8Nwvkry1q37OeHNdUvK3SbpXPMZdp3r3GFqtAqz2dszB9ZRQVgoXzB7P09wZtf8IOId9ADtXP
REq86758w+FcMUwdWF5eivy7piVKri63PJyK7ZddGEYBH9sx36S9hYDbwVvT4TKz/m39/CbC7TJu
ujBHzXPY+xz+eUQWkut1MV/A7QZpc42s4ddW4d53KSz1KJXhDvRKV2xsSit1H8t93l+GaQpQQNfi
UaitKQblsX1gI/FIPFQlHW8Q98o2eJB9IjDfT8m+14v/QNGOf9h8Tx6GFCMPW8Rc4CcGvDS3u7Yb
0h67cA9gXCMEjxBLZDr0Xxc386KZJn76fLr2IDk8eO9Y9/BdSHR1TNkyF59P9ULah2SWX2Qd1y82
OsSpCm6Aqb9tPe5RoRANpuH0YDGEOabUy+fDlOKTUIasp8+nWP/6exvQglr2QUh6cNnBXrWPCdiB
G52e6421j36cOTA+5q2ZtujR2+BBKO3PYOB71BDr+WGsyY8h9e8YqfvKgvoJHuG9f+eamxZTc4P4
OSu+4TwCXCyl9PnJQ/fjik3+I9ZtdKA0+eJnbALk4p8a3BuQ4xkQrTYtzYA51CYJSo3WVOl7NCIS
UjE9CU9Gp+g+tFsKE72eqFfQGb+4hcjeodoxX1PaqjOvodqgVS5/PgiGLtVag9pZNnnJuD8chnW7
YWkE9QW/YBfdvx4PqT6INHlIIYuunw+cAwyChXrxnMxOCF0P2DkdOIZFfnOdi4429OfHEK4H1uv2
AR2yEZvcNEGyDvHFNDhz797A/3wAUF0QAkzc+HjDk7ZXrx4qgvBj/eD0+bRJEH9NSKErFCjQa4zX
5gLdsp6kHGgulYleAXSKW8fDW9IH4evnw4RMDeWFeEnEacLJCK+NYH0eYZVHlQPx+iJbvYcb4WN/
ZO5mhahPLcoWW7yOKEyb9ww/0/M28CsaDxs83ZDBZei6cu5wXASdSgeyDcI+x/hpHxiQk4r1TwNd
xzM3Pn30cR5JbtCj/7El4tYDnvoSLDBi6F2RMay2qEbpFzF3Ik9jkfzcGlx926g+YvDmDILv7mOJ
C1wlwA+jyEoI0wHGUIA6bHg1ZNt+mXhBoBUCO5wzhqvLwcWtl+EB0W59QpN7QZPZ0VeIAJ6LpW5+
BQriII5gCs/TXKJag4MKkF0+z4yMe5QNtxNNVLQzM9Z7l8hbgzpPFqcih5EmLnrAaTJBoHOj1FEF
KStBW0KJTuNY9tz/vnrNLnR3ymTj73r0QEuz2J59bPMPgnK0q6aV7cNNpnuw19jHoCcaMKpFFvOu
8MbePHgcoe9/BK1PO0CBEid5+PBvIvYTZN7BYzgoYpr5kv9HDM6cLNMiK4lSI8/oRchl28XEDmjf
aAqo1gw4/0Hj5gy//u+N6f8Xy/mfHef/3P8a7wdyzf/dvf7/0ZeGo0yDDG7uv7emr40b1ff+b2eN
fR6f9Pff9qc9nYV/uTvPiY86zv2EJHjQfx6elAV/CSiEToQTkDCWkvsZWn91pwOcuARfguCfkIBF
iXGi0V/d6cD/SxYlCJeQc3ye9Pe/dKfD++FI/3R4UhpHKUzpMMjiCF3QOPhv7nSYMQ8Qd20O0Mhf
poR8CRqcPJO59bhG4K+SBUk59X1c8s86i+aCuwaaSMc5+kOvpO1xto6rBNdoGG9QwtkA8m8lR0Q8
3wCqDThgh7+7LvgKJJkeepB9GYwSnyYBzsqxN7lR1Do1IuNo6Uvmi0dYIOTk6YzkGdLvXc39EEfZ
xOD/V4iVetjIkS0/21pd+tjzcxzsgCacghONtp3yy26K8aJj7uE3SXy3+SYT2ux7FEhgBV17wZ+C
Ljp2mkdI38nPpGlRlWm+TiZc8ohixocOpzlBC2+bUywfST8AZUQOBQIO0q8Fm8pXuJJLd8Hk8y2s
tw/nG52LGRDAaluJVjQgcdKrKsO7XSFS/hk5oYHX1+vB0fSHjDcwLEtX9D1HqT9GuEzMdCd0hjJe
saaLGsYeP1oyP/b2tbMBDoWoM1gZ95NIMKXxQH8WSwF84BAjlE1RsYUCYNOb6cI/fIJX06xLLmXw
Tbdoys6zanJ6C+FBVgno4LxXWQF7B0l+qjacaiDfFpxu0Hv0CyEZCC+Zga2/t6hXXpDEAtCy28M8
WFjfM1rUiND6JPy6NtN71pKvbeRb+HAxEun1GtL+vNLkmafqwub5ya/pc9zqXfKdzK6Kwinc2208
yxEdW01Ms0cB4LKM1i+M61E2i57qzZi9US9QPRaSWL870p3CSPyS3WwrziEkHLhGOME/GRjScoxw
/Ify0ESz6iPIojMKmzg1CX4wps0cfc0nmfE/pkaimKPdmJvafzd0K4EKVDhVoS2JpGlOmu2O/JEn
o8iNocCmgbChOIFOtCaIK6yCM+sa81O22y0Ft7ADRgMvMmzveCvJRwfGxY6pX+BAjAZZSHbxYZ7m
YOdoHvRdfgdA0ITHVNX+VHXt7UOMjgv+i0xGnVvcNo1a0Egjyyml84OvcHgRgBdWLATV+Ml7CzlA
hpqr30OIM7LA7F7k2uyGbXsYhjmo2PgCkGRnQbeJyOaePdNMf2RzgHy80xdKV1xAs0I93OYWaX2r
5BMLM5NPmQJmEDx1DFdJhHECxcYvnJwDCx8JOfQuzABCZ7Z9nNMPzzgcSDEcQr/5aBr4aArtGtAO
I4ZXOT75pl1Q1wgYiMipEK0t1wjVx1XiUqun78swXuuMp5Ba4k1S9jB2uDSw58GKTOQeqgXEx50v
RUsCTTGcT1UMGY6iwVFmY8qO0oCdr7c32/9ubPfHGtU/BCqjoxK//ou788iRHcnW9FZ6A3wgjco4
dUUPLa+KCXEltdZcfX/MKnTFZQXd8XzYk0QikElzE8fEOb8Icv2lNbsX8NQdBM7p4Ejk0fos9Tet
2h1jIWFIyQkQaAYWt5s+V/4LgO8eoh33iZqE4yYZZM+74inKNHML7QmhD+e6iEd/JxVzEyhTdEAs
AFJo/G2E+7MDvweVsbfu+j9l4wGdmHqq74ajgfwgLyfF0UId4DlX4G4k6jEA97cLvXI4TsZvqwu3
kwWRLjONe6XqbtWQbGcQV/kOcZTXvqZsUDrRt8I3/yQjqk/lXV9lxY/pgFAWqVdyiHZuHALNccFP
KEEwbEKZfWpNRl4Fybh3glR3yZvvzCH8BOT02ZoInk4p78aSywPQ4U1bb3oxfiYt832Kv9Wx+TDq
JIySHpZUou5MbXqeo46LXLMpG65Uo9Am3plQqD09eFPK7jm1EwCcYQlinjR938prg6y+hhTZNrRa
ciYFUcgFKNs2o3eVZ+ELj1z4hMkmy3n/dWr3Oe53hUwKtl5Vg72sxYcKLCaKaP3k75tEaK6XF9Mj
EhAS1QgYwFoFI8trYAtC/0YtZSYJo+fQgpC0+qrdWbb3a/LtdjcEudz4Bu9OziilbotrI6tcBWrw
pkFrahcEb9VUfQ+09t7p9AC+rn3fkhsGOOptit5KrqyovocPCHeON/02MpHlE0zTGARsn1b0Bh3y
CmqsD+A3qQ8iLyhQIg5QejDAJJuSUz5bwBugJZRf0TDYgU/83aMB5QJtvc9HECo+aJAYvP+UJZSv
6kHfq2356ox9eVVYykPexk+AKP50LewuGVz3owPSVAIXKY2QPUuZtJ1hiuImLpPNwHvo0MZQW+2C
nGNkmBs11r/Yo33VTEG2VfZjxzt4AqLHEv9NhUCgXKINqNd5JZRuawt15knmvbIpWhFtO4o9Mm0O
8FQONnwsT8s+I3sV7xrSqxtd9j9nzqYJGsky2U8yct6balJI3fRJcBiRjKSWq1UPhTChH2VXST6Z
z3lk13eJJj+jdPSodon2goJUtwVmMSGPELXX3IhuOicuf0CgMmeUZR878gC0yNpDh/I2AepbcN3Q
DzE6TnCqi3uYN9Cx/6UCpfXA+0nORooKAtbW9pUwAA1p6E7lVOvuNOfKGHvxrHB531I6ftDlBEZ+
Rt1ugdGUqTI9wk1jiUWvpTH+1L0RzDZZNJYxVP9YtTZDZaaHIIDhMzQkxv5oHakKGYFRz6hWFl3B
f5ugVDIayrG1eqQC+yers5OfvjGJDWzEw9TH7TUZQ7mVhtdxTdCS27Kqk9t//i2aRHhFDXALBviq
taPpC5Ju1UHNG+0gSq5mWVO+yi7pt60Hl9HuORGdeuKVLsF8Am1hKRisACfq753RD5GsQR6qMFRe
1RlMn7wNbrycMljZiYNZRsAIiuSqGcdgx+GRfB7s1EMrgjJrWaf3pnffjnV4pfmDs5elEDf+lE7b
ph+/sdam+7zW7U+NMr6GdRG4mqi6o8ItYdcX7bArv052G97ZjYpcoUzD6xgpTFE8ak5UwaERza2u
Fk/WiCBcFnvZS2aQqTHKYcYSyK2VifYVwG3htrkz7fRZ3IEX/aE28hROsvSfK1CyT7q4qmqb9OT8
D7M29GOXQpqPGrvYIBqAEhfbS1WONyWyBjfsSkFVP8E6NRg1yGzll77LKxeEZBR8ttB04zwnZ9cW
9Sv/97AdzbseOa9U+uV1L6rrrJqMYzJxRxwHUPmd2d+bIxQvSaVqHGq4FF7/qqckhtM0+20aZujC
swG97NVi08Fo32eGdAHt/+lI/G8zwdIsyuqQEysHowy+q9NvyKamS3rvrYuhy0vA1Luwp8qH7Ihx
ZSlIOkIFAAfRXOkOCWXLeg216DXjMoG4GtdvO3PjpBIbCttyljOYE1AqKFv7B6IC1QYgGrCPcmxv
W2m3t0qbIP0Bptmw/litf9eRAlU14BOdbr0BTOGR26IGh+il1MI/48hVSyENL9SgQWovbvdCG29R
Tr0JMvnYpx0wssICLqyW236o3YacdKlw8qa9tXVC1CDyJvxcqnD1rMHYisniAlGg+WZwAwdFeaeh
A7RBPMSVQd5ugV5xKiDb4zibFBzXltX8h0cLt30DOQptOiat+uTF2bathtt8DFzVGsj2av2nIh8+
67W48+DMHU2tutK7+JBqWnAb6PGRBDO6fBrEkHbyub/BCxG8gRAXoTbf9/d64XU3aQwyXoRHao2v
degEW26OHUm0bAvb8GCYxq9Kmw6qYxxVMexNw3a2fc2rx6JMZNsp/AFOtujeADTa9wlPjSJ+6Wat
VTN6HGmscoJvXp2HG/hfV9Buv/hD/VayQ20EsNNW3xoVS0oFJpt4402KWttGR0kJ3Ts3nLK3srBB
ysmDliVvBgk0tD6rV/iMcJ+q4DjV+k9LabutnimfShU+fRfcGFVYbxBu+8xu+1pBuYWpYnFmpPqX
DIrbmNmPauEIZPrM7Qjpps+Vl1JN460Na8gzIe8nVaHuU5JyOnKvg5c8SwlCshmuQu4iGcU2VD4n
dzLJWqlWtM29ZthzE+dpHG68MrK2tdO9jnWNHJH4aXnD7yauKCY5JnqXCDBkRgGuT/FAQI/Impao
2qR1ejuif5Hb2bWSw+MqmpoqNZp2BcIXx6m3PoW85HdJQY471jVjg84WFdwAIB3aM1ul9JDyS39m
ae76qlQ2U2tuFa3elAGVB6ufeNiFGRvXzICdHidf20a69doZAE4a5dughWiBDgh0dEF6hRYMhEoW
rGZQWw/1EMmN+NcUQ18bq/6GG/przM65qyYI8qYD4jTJt0jcfc39TxaxUY+fcjGm23mkgUM99ugV
SdP8GWj5b8NgDuNYuEPKBTHovqLZWV07vu/vTNBi+6jI7xQ0HfaqZh/VbMg2LYNWbyAiJ3BxRAdG
y0RCkSQbC5stXBe3TlJ/s/IJKeQkRuyna+YnbhocSqG2EBqSH3Lw4HcZPwyh3HZmdK0FVJLsEGgw
QHaNzWDGgoXiqUNlR7YID4Cv+Vn786NAn7528eM4Q0dDWSO0oaI3klPg9W39hjjkgqxVP+3CAW3f
gQiFICkGycU4/2pyB+oQVNMKvd+im/k4Cju/M1TvyqkB1eiGZrgTCyP3LGRKNK4cdjK+agH3KJMs
9Q4hmzR8AAJmHorWZCR5/yMgR7DE8taIQ3LDivkSwTcD/1Cwo6n5kY2xRquICjGo67L1mhtebVcT
MiVgBcx648O11O3ioUoQbwZ+Bk2kvFKG+RIbhTtpwwEqJeIWcSj2WbyxdGYrGcl7Bi16GI6S7HwR
MSOU0YFD6Fea+Nol49GJgvAKNtz3kh3DaTeOHwYbbqct9S4UUeySS6Vp3/DOgrBdRp/SYITa8jkd
zOzgaRU8l9S+D73uW1wPiNOSovZbcpviKawQXvOL9hFevX7fDh3g28pEM4QHU5ZELoK63PEq0Cph
/coBxX0KsDgpU/YhynhkYe4D+hH1FPHiPmt4w8zMTq/ZOjL71QTOp066VgpFs5YIv1kBklF3arIx
Ilu7KXy73pXC+2EV82ZsynJL+faqA548BO2w5+T4LSP7CkFofz9l0EIt1Cc2ftSw29ZQYkdQaoH6
DcWxaVeouNEgEzFNyY3O7XmrylTlxYYYNTAkJ0p/57aDmKzvQN1F56m7Tj31Nh0pz2ltpu5GkcSU
C9VjoaPAnfv+Qzh5D02Z/SI547PoeGvljvYV8bN92tOfWSpC1jwkrfKtJT9G9bU/OPbAkyENPgdd
zN02GHtkM3RKWLwMPUftN0WltBt9hPRq9998OT5MZKspXsz8tz9Jp90MGQx6CUpnC14khLks3sym
BAbOG2AnBNoQEfxHkFzcxpXABYDyoyvbdB8bMWlm/YjsVnwBsPj/4/ztz/fGPX8lYjUwveup279s
OP5J3M7//b9ztvb/GCpIXtPQbEOqxuxE9K+krQU6WNUNByVBlaTp+6Stbv7PDBu2VLI4OtvsnM/9
d9LW+h8kVPgjOzPFP8txxP8GUvw3nlgRnCuGLWFs/o0jTiyttBDVT46afaWKg231rlkj+Gho/1ox
JOIxFPg3Ev3/vJPU/1tP/z8NoOb/HqistWGuRb6dHAu0WMmVdPVtnzhnPj7nk/+Tb/7Pxxmd9x/3
UBu0S/SZjiSBtiaiW42V7d5N4P/id6t/f7or4PZX5AyO0ELhfIFmuFFJx1JniQ33dBMrv95gQbz/
9YA6wyg37OEo2jDaBUhRgTDx08s6YCwMDFo5BiFYoP7YiKx50qkWk1RNlBvZesPxdAdW5tbAjuF9
BxQtCZEUjGAwk629jydRjS40CpOcbDR1X083sjZK88r9+R8jBu509US9nEaCvEFrMIwCKomGWpzr
xVoDc+/eNVBUmbRVSx+PfZM5KHB3WfgaBhZafpd1YG733fehoXRWnQz2vjHRO95MEzSXQFjDv2zB
VgNsHuwPYsBYRDC1g3jsh8zeVzW84+s6iUxtAyithnVD1XuTab1XbRsNufTt6Q6tTfsipB0KwbKN
PZInVadFDyJRSwR09LldZHvs6up0M2vzsgjumroy5ZnM2gfw65FxCCcJ4GQCvnz6+2sDt4hw26Ga
HjmjtW+1wrhDmNmWz42S8e4cJWhtV7Enq4IgVBbPpxtc6ZC+iHfwFkg/zQ2inm0P1zkXvHZrUFkI
96cbWNnM/ynLvVtpkmyx2rS6uZfJmEefvDAAo4AgZOyZu0ovJVdIA9DU8HK6OW0eqQ+Wnr6I/8JO
yfDWo7lvfb9D5VxIMsfU97rRSZRvLdf6aKYgD4Lbqw1AM1alnmwVX4oUL7D/d8x+sEuv9XixOSQ+
uo3A50w0cQTwrSr/EyAYV5IE3PWDf3e6kbV5W2wQOcHay7Ex9+NY21+BvgAN1dXkzCa61oXF9gAj
LLRqvTL3oPTC3yo+jrd1bVAtBLWQb4wmGw+nu7Gy3vXFRmFYlEKAPc9jhaquPqo/hUmV37ccwMqO
IP1qF9aZTWltyBZbBERYaDWiNPdAGKZpX2lV5O8K09H93enOrDWw2BzE4GsSuJm1h8RPxiCOYxR8
BmxGvAsbWOwOAp5uluMN4Gb5aFuobstJebFh4vhndtGV6Zi9x94fC7UEQYaUFyFje4bbh9h0bBRk
GCh7RuhvK/0QQPBGFPCiAROL64CTo6/WitFzc4Xs9KGvtKKDVpzmnXu6gZVTQSw2Ax0glewL/Dua
phXNMYO7rvJE05IBc5wG6PJlzSwivsy70tOHVLpwq6fXuBohrBdN9VhHUNcva2IR7yCVpNarpuMK
Bb0UAz2/+MbpJcdDbEpgTKdbWVnBS4xEAD0mlnYh3YrS6pWC2s+D42tYgFz2+UW05144qoyQhcx2
KQAaRIPxzZrAQJ7+/NpsLwIcVHNuw5G03C5hGoa4r1HEHXn/hlpbXDhCixhvQ/j5yRhJ16g78lQJ
lBhlU6sjz+7LOrGI8dhRzNIZ5ikoK312UWgjdR/Kom2uYyru5WVjpS0i3RaI4WjKYLloK013wpnK
+3p09LuxM5Mz++3KZqItojt1OmQJWp/gM7S03Zk+NawnROuV+Ia8DfQeaq2O/YRPmm5ddj2bvdje
71/2yJCBEreBVTBNLlQFrdllQ6LoZyJ9rU+LSB/9yFfTnuk3cQiwD2rbKv1tIkTX7XJwv9p9jHiL
OvuJacO30wtinpEPLjTaIvLh3Xh2PvUePioiwKWB6lr9sxZTAHR4qrBBiyOBtg9CKEFzq0aiEF9H
zFXNp9PNr2wJ2vz3d/c3fDO4g2K25Ka2AhwZMh5SlqAkT3997bo2pybef97smiEsRUl5H75qjnoe
ojxIh8B4cH2qVv6XQkE39mhMMjPvBzIVs8yJlNFXGQvTPBNzK9cdbbFxJJVuaUi/2a6hh70LLDra
VzLJnhWZT2SovfbM7X5tLBebR6n7WaQoqLSYSQ9NotVkOm1akpv1hctzsXnUYTmaYqik24y9h4ar
3QjxuSx03EzQiYYuQRGq8H8Cm4VhcHoGVzZddbGRYIeUMBWV5VoS+d3NhJFssZli1H66kYA/M0Nr
rSz2ksmY4rK1uOQGfhLvrQZ5rqJShx0Yf3mmIyuTM3tKvl+JFnnPLCqHya1xonIFZjKUWUz7zEV3
7euLjQPUZKAMbHtuJODhgWuLdsjBiDO7+drXF3sErwEAWSGLVVCTA8A3izob1YUDMzf6bgfQLKQw
h8Sf3NBWpqe+y4S+61CIOXfpXPvxiy0giNqm0KtxchU0Ya8UVUdjPEdR6/T6XPv6Irb1ojOLJubr
jYf8vJF2cjOqsXdmXa7tX+oipGWGHUoHy9nV4lk/uD3qynCXpv5Xw4lfBqm4Smwd7GLYitQ+c8it
nEHqIshxL6rU3quZ7CL6pirUs/12wHXLwOPGm/wS6kRypqmPww4D1L+nHhcqChUa2gm9Yv6elQm6
g4GkQOY2QB/PDOHHE2TOft/vl5fe2V0Grr13dQL82Wkov2tGHp+5N89f+e/T03QWUd1kbH79RAZZ
MwCFEoBvShzf9gh0UXnzvtZ5QpnKi84sto+nxpwx1e/7ojUpFk5ThAGcaSqbvNLNHWLJx7gA8+vl
ABWKITnTsbVhW4Q8h6aH1obewM+MPA3hKgCcdjDEwe6SuPlHbOR9V1I4fpUykkcBAIbNZauJG1V2
jnv66x+fuLyx/x6oXPEdA6GJad+WzlPhV1+yvvkUUk8dY+2ibYv6899NkN4En9MCu6wQPKxfPOQ5
/NsCHcTfp7swx8BHK2sR+bEWdqXfAYbwye/boJZmBdLd6JRbxDZ2nRoiigleNvHQCz/d4tqULwLf
jJTYkBIgVYmHL7KNiGmWDmXW019fmRK5iHW9iAyB50m3LzLlmw8/hrKI81BgcNMUZnTZpMhFsMfF
VOE/heDlP10wEBpC7dA614WVAZKLYEf2wmtlgImV0wOrF/PX68sHaBHcsdoVHqwafjtGe3grjI8+
ualWxhR8LewyTk/DWh8WcR0YpsxR2CEPYojfuQ6h2kMj7sLhnxt9d5THQ5rI0OfjspZotRvBuPd7
K7g+/dNXdj+5COqhIWuUjGhgD6I6Gk4FpsQA4GSAeCyML7Wt/rvi+78sL5hyEdpIN4gs19UW0U0T
QXj1PorLR3isPwJdP1pItZ3uz8rhbspFiNdT1RR50GMXGWoHCBC3MnaOSlJurVg5+lDNg86Aemzu
8K88M/1rY7iIcdUzK30MlAa3PAidaeTKCCkjNHK/I5r4YjvD4XTfVpaZvYj2snaGiCdBu48sB8hS
FCabthL2mV6sfX0R5iQtPFABqEClkUOSBEcTtxZI0V722xdhPrSGyACg4SlNNRSS3JTGqLEgq2Tv
TjewMgn2ItIBnzppW/ida8YjAriVaR2KVDINxqRt1MoxcVmS6YW9WQS8FuL4lQ9p6/p4Nl47Ua3B
RIzG/emuzF/54JSyFxHfVl6h+6PZuigLv9WwtYc6DTeZVM4M1dr3lzFfj1EKUrJxw0C5Z8P9hmH1
U1ykT6d//sqhZC8i3QnD1NYyu3GpFaabYCagdHnw3El/VnLWzyzXtU4s4hwdcKWCR9G6VWjelRVa
2qnocEAbvpzuxdr3F0ENuqKHES+VPQSsPfKcL0iFfhFmenP682v71IzieL+tozjjK9wORhcxCBUi
JrXV2EMlEsHQBL5MFLoYYc8Qywaf6nDyd0ZbpWfGbmWGrEWodz7ko5gvuwn30PtxTFDy7R1xVMC7
H2A8tFenO7nWziLoW5S61cTLW5di+wMS9B0UHvqKOtHGKp0/lzUyN/7ufPQk5KkOepLbd0gHadX0
kKaIrdpAuRGiuewQtuZV8q4RJ8MLpFDSxkV69rfVmhBwYAc+nu7BylJbavBhsdBUTYXsqd9B7q/9
B33qboCoP1/2+UW4gyJ0Ii+IW1etwPZipbD3+vwNAZcLf/4i3g2omH2o830seh5jnAz7CA0iYZy5
oawtokWg55js+sjUN5x6ylOn4r3SyoEnLbjkWtWzMyGxcnxYi3DXNBRXJ0UoXBS7myYFCtjlnzys
Xv2yvG9FeeZ6sjLV5iLqlYDXR5UzVjG4usmb9kKvDx761aeneuUMn6m575epUfSjPlAj2IMYP1a9
uDHMM7Ow9sMXoVyMcHDAFbeurjVXRZ3Dlm24jLZntsO1H74IYtgCwDJbfrjIX9SCCqzz+7IRmfvz
LnCxUq0KGL4w/HP5XXjlPQLtx8s+vTymyy4ecMvE+6+OtFewRcKNWtxYTn99ZUEuAXXIgxoRooaY
4HqIKRgumKUbKQrXVtUnAVvjslYWseuLxldg3+BIwpt+0iCIqtZ39OIhTGO7Cnb2woW5CGJWfVkm
KncCc+rRsHJQ+TQ6uz+zO/9TK/rgxmQuolfWnd0YZqfsh4N0h6vgq2EgbLPx3/BHHB9wnd3nyi55
qj55+e5cSm8lIpaouwB6HIyYsUGG179r1PDN9GtQX4r34/TUrH1/Ecs9ZbhxxBMcyZriGFLu2HlK
9BwGcjwz92sNLEK6aluV6iQNyMR8RHnpB6iHO6wxLzsWjEVIA0Id1RIy8r6CjjGI+EcikrvaNs98
fmXHMOZevQtsrQ9tXR+0xnV63bi3chN6hDFYZ6Jv5dAxFrEd1MhocgNX9tCL0HFs2x/o9W0dqCpa
qNcXTsDiYB7wGoBAyAZiYzgC4y8GHLRDLWdKdgUKbudue2vzvIjxok8NeN3Enm8U35W++9Kb+VfV
S85c99c+vwjtDn/fytIZqswIKb/MR7KCRO1Gb5FAuSwUFuFdBQinps7Ai0IEt9Vkv0Vhf+dl8tPp
z68spSWeLkqhg9qBXrtjqd9VkRLClJahe/rjK8OzxNK1fgXmGmKLG5pYCs1KSegKJ/10Bri29tuX
QWwqmNPDwXOFwLdcVPqbM6AtcdlvX4TwGGgROacGB72xuwkS/Trv8wdcCc6E8EqQ6fOQvQthQT0V
FLtSuXHvoclgXSeR+prz89EzIs18ug9rjSwiOTd7fGsMGkHbSN96ToGfiw/nKP2lIA99uo1/Kt8f
nD9LSFxbiDoOtL5yLS130xq0rKmJEYEj85fea7fw55xd5gcQ+lVk9sGA70K1eDGUpnShipx7pKwt
tUWg9wpYvNJoZ8ND8VA3JnrP9mvt6J9P93Lt84tAb3q9Dgq8AF1P0V1fmHdItV6p6bnM3cqFR18E
OT5XsRUlBnLFTbi3xaCjc1CjAlG1/+iioUt9ZjdZCZklYC6cDKQPhrh2naDALGy8T+WFt+QlOK5X
KpGAMalc/K3MdlPZVnRXWhBw+0iQG7xoHpYAOTOGWhfns67z2DwqbLJJYHxRivj19OfXhmcOpHdR
OYAcTdApqNhRoBymo9qg2pnqZwZ/ZRHNikPvv+6LwOQuIyo3MbQvfRQ9wyjZG0pxZo2u/fj57+9+
PMp7RVypQe2aIkSjTMS502x9atXxmd8/j8IHkS4WZ7YR+L5sZYJ65qA8hal4Tcricchyd8Am+/QE
rA3RIowT/D3ICNBE7XV3JTJveTscGyigl31+EcaJHL207MbKrXT7p9rNojBSNE+aj5LbZS0sIlnY
HTRUHGPdth+hsSbajV8WCZbLzmVdWALh0sHDw60O6ILhY4NkiQcvUB+Cyvl1UQeWKLimMtrWcJgB
NtSbbhQ3cZC50hOXraEl4s3p/aSNSr/CDzb8DDz7uayKF6vzH4ryXEliZZn+Y/vwLg5AE4C0EXHl
qpQBzVlHHl3vQaa3fSUvW6ZLjBtp18azegWHLUt+sXwLEnTmJnH59bI5WESyNxi4vBURRypjtXFK
DPB8c1YcQubrshYWodzgo6xEuVO6sTN8GobpqRIxYubOp9Ofn3/oBzvFEqCmqjwOM1MtXSkxm0Zi
qSTShjx9Of35f77z0fcXcRxFDtyoaOTnl8WnyU4fK1ne4cDxQy+Vfq/m0M5t0W6zUjc3UYz+JBkb
9BWh8J7+AWv9W0R5F5mWl8LmdVEIF1utNu673j+HqF35+BKhhi6ZzM0hL13fnAJUuPGcyIvf0uni
M/msjxswnHnzfRcgRdMEka2bueup5pY8Bz7SCXY9lwzNP3Yw7z9ejQpFSAQ6XJk36Mtm5lWcXYgh
URdpAWPMVYdKf4nHZt0UrqaVZb3xYDCeqz59PDJARv4emTFusXlOvcI1TR97xHiwC1jjjt1XZ14V
aytXXdwwYO2r+AkqhZv35XHS2yN519tpnI5jqqC1HR/tEhnlKN0hRIeWUqh+Q/LyTOMrt0x1Me+2
PQxS7dTC1ePqU4T8hDdLsagW/G6k5L8kGC6eXgPzBz8IT3Ue3ncLrIERO9Y66uUQ87Pf3TSM19ok
4u8obWbnwCVrbSx2sCGs8M8a5oEMZs88XHmLGNutRLsMr6QubyIi79HdawsXamOBiLlaH/ASCc6c
4msLbbGBdXqnj0WCA0vkmdMXFf3cI9Ti4hzgYO3zi/1J5/QwkYkrXJSZyvpgt6hdzrJt1rnX8cdn
LCYEf88wVd84z5BUcqWdRbhnomRdyU95ln3HvPqy+zLc7r8bseNUlFZTsYyM5iX066egmb44snZP
r9KPB8lYQu0QN0coJcEf286ctyzvkfQ2jHOxtvbxRZyX6WhLpU0LyARK9aZYmrhq47Q7t3zmcf7v
CAMe//fQ4EEKTFRiMhtFGAN98nH6KfFKyytPf7bUVq/QnsObFSUqW46Pte3ZxRU2QlaBOEprStRb
BMZXW8Px+tGFRaP3ux6NzOr7IC3cg7Fu1DhH4yaLrtLe86trf4B+5qK1F5iPOsrD+Z2jC6t7U/Fs
CV8cLzebo2XWtsQyy1LHQz84WriHK19n3wbbMLzHxrCU6IfqW3H7K8nsgERfjGLZvUUGQdtUYWSP
WDI3GerKRYUUaVFpjvnsDKkYgR57KDFpmT62R7K0k3/snQ4LvRS2HQLnmRc5V7mtI1jeDkOg3eBR
qqKkZ7S6zC481xb7QToYLb9cz12F0vgmnyVB5ZhvTy/FjzczpAj/nk6QnSO3x6RwE9TrZssnR/Ov
PTv8etnnF9tBR4VpwIQqd83WI1iTazt33Ek6u4s+v0TiYYutj1oaYSeFWcnGU5x4MwzRL0QXzuzF
K8OzROFVqq9bMWVKMi9RhFtr/aT3yhtczNfLOrA49iMYxUiaIz0dIbMKAlpJDpDtwmOuN+m5iP04
YOViPwisUG0zYdUufgU9vrRS43FYGc+nO/DxyW7IeeDeHbhV6nfYr3ZcugbMYwAQRzfciKd9OVSY
LOp4krWaelEZ15DzjveurTILG/g9DoMFCxp31PJzlZXoU3ntmc6szfZib1PRxUEbucjdqilNf+eM
Zn4lACl/I31yVlBgrZFFOGtZqE2Kzpq1/BRft0AJi99FGwy/bIUunQmMeUg+2KWXeLwmLXtPCRqm
xUj+gOG+NpW6PLNlrJzAchHTBWYrXTnaOQ/p3HrNirT9Gk9K/itFRvHbiPfan4uW1hJ415nlpHct
xdekdCa50X1Myza+gjhwGU96uelCBYOdgXj5frrBlUGzF6c+DvFov2H44Noyf2vztnfDMDx7cH48
I/Yi0gtcBqLJ53Wij021dVoNr1ylVy+7USxxeL0Kud0MSYihoppcBzKLb5q4Vj9fNjCLIK+jzI+9
PGcXz7CiDjJdfeMNPJ4J67Vhn//+LqztIS2ntOZGF3tJctVmMqLc3pxDKK6sVnsR00JPWiecDziZ
ymsjKe65C73p4fi5bdJztb61HixDutKGduDtjElmpv8OIDb8ntI2bc4E3NrnF2c0RqZZFEQxb0PL
7pSrGMHdrer1vXkGBqLNH/pgt7AXEQ3VGK/4RGYugC7sc8JsHOXWszNR7Po6V159VD/RmEMctKtr
POAUp5khEmkpKvYv08zPrISVrXEJB6ojI8uNTEtdjpV7u5tuPEvgcHwuQ7oyjksYkI8UnWFVeeY6
kWIcdS8Ij0mBt93pIFn58UsUUB9boURsHQ8UbMDc0ZiQXYyM7hjYbXZOu2WlB0v4YmXrXLEjLt/o
6KMUim0Kmdg0yIrkcLoTaw0stkBL1XE7KtnbPb2K0tsYwXtSTUPZnCsqrzWw2AYnta3gg4vM1dEL
57bWRz2avbHRnROVWpkGrHr/2k2sekqrTNBA7Ydfa5ztg6n9AsPl52UDtNgKkwYbS6edMhfhoRp3
IP3P1Jjnfvva4Mx/f7cT+uWk1XVsp26HUnIi4msh6jMX2ZVt0Fpsg6miqHhyN5k79cCDUXRws0A8
WQEGk774dNnYLLbBBgNJX4P16GKYoqO80PUbCvHZmV1wbWIXu2BvYwSVMbduOObTra9qw25qnOjV
kIE4s/pXmjAXi9NwBgj2mZpyVc7wwsJQ3dPESzlOlw2QuVibFQ7EvueEDJAR9LcSRwsUTTvxeHr4
1379/Pd3q8dBsrHrNe4AkR5Aacbdw5yuAgyVkNxPlNz+c1kzi0WaKmFd4j2UuiJpn5Nc27WN+oyt
8P7051diYInA032rjf1JYZrxQalRmM8a0unVZHpn1tHaaWculikSJA3eWT63mQTjbMU5aln3WBrp
Xg3waMqHQ24ad6Pu/VGx9oHdfKZja9OzWL9ZJDHEBXC5ryddO+px4x+6USlesgBNz9Njt9bE4hxP
wkxrVVEnbth6xQEh38QtZtnpJjTl7qImlvi7YlJS1UuzxO2m5GdeJjdCARI8etOZCsFKF/5L925E
Makd+eFc/WWwhRdfvIW2WT1MiZN3m8s6sYhz5Ic8D9WZxEWz+4eZxFe4174U0XjmPrWyhJcYPKNT
qbdDcIWmnXvYspd68Gq3zTm4w/wrP7itLTF4oaizLPDmKdAjD4JCUV6PQfM16vV8n8SKhSNOapxZ
UfPO9FFbi2DP0a4dsFZJXK3S7qJQDTdtWkHp0xCcQkzn3JNybcQWp5NjYW9p1lz8tb7Rxl3YApBF
aVeU9RlOxNqyWsS87PAa4RJNPwILr6FYNx7qQlQIKmNTd3pRrfVhEd+jFZK270sFyyJ/yK8jTKHu
hSjMc7SOWTT0w7lYRLdl6GKwrJZlBRUihW9aqiYyI4iWwmbRzO4QDEVe7yjSqzHGKZ6EfBUhmP5F
M2HHFThEb1PbUJ5t//9ydmZLjurMFn4iIgAx6RYwZbvmoauq+0bR1QMCJCEGIcHTn+V9tX+f7a6I
vu3oMGUspVKZK9cHrMkIih4x8y7l8Ch+130Y2Mpqy4fCxK37QWQEILdu5+Pa8AUTfcbmYIBzuBT7
som2Fx5gnulxZHxbgQmFavau1QCilER6fLolPQFPiITAtfz4q7d73vcG9NvVso75TswGU1kw+C02
ET/9+cMvrI5zKSI4nkN4muDf1Sxo78CaoDcW3L29BaL17e8ecZZYw2SYLKDbd1dzG79OzC+xuAHb
Xf9ufZ97+eG+jC5eYrsrsk0whg+jw7AB9TN8djO7EHPIKT78K7eAeY8EgMd1qIgoEWKCaR1noJKg
BgEEEPzqY4oB8uwwUa/9O71GdK5TDAYaJ9ESdyh7e8ku6qyo6kFWSYK2/owhrU8OnAsRjpxFOI7q
YUCAP7gadN3A3tNDdAvXo1aqSuz0Wff10go7C3CBXzemGw3YrsI0z1DNR/cZr9131wbeJ3XeS484
C3E+o2kd6qHbgRnTJSWg1nP2e4r0Nu8bi9HJT8Lcpfd1Fuag1qjNAtw8Jn3RgKlM7ALo7DCy0Mgt
C4ts+bTVdGFYLzrXJtYcpSEGvMyVL3+z7B1C7d28kd8a7A036kMXZDuokO5mAEb+vEkv9LbONYqe
02CTKdVdAQK95wEHWAcktRmhZphzF8hdCIqLAxf4z4+78Iud6xZTwrpsEykt4QGUzge48sdVn1Fo
CpJ6Ef4nC/zSU86SnRifnTQwpCldb/SN65sIPve9ehCJ99lo64WjLzyLDrBDG5pmRZcuTWNw3Zqg
LhrP/8uix7l4cWlQkyUm4FfJSrJqbNamaEX9+8+/waU//Xz7q8HzhZSslEwcADPcreH8yYs/hfb/
yJ3ORYuIjf4kZ8EAeRpL7mPRTkuB21MeuC8WxBGghP/uO5zt/A1GzrDsQC6YbbU5NhSDRSLFDM6f
P/3S+jnb8CxOYcpKPFo6AzffTOkpJ54f74THf/35CZc2eniW2cDidmQx/HmulBp/hc3wjnnGO7gv
PI6OVMxL7t3ClxxTP7+k/mxVXYhj52rGOklrb4F195UAKKBaeuaOQJiDjEiA+kBnJvu7mHKuavRW
h56SHBsYa5LrkUS3bGE3lthdTAimy/UNfMmBZjDuk+vthQV9LnMEonwwE+kpVp3ybKVOky6wdsy2
8s8/1qXPP9vrHNLeQUSKojOe3NRLXK3x8PXPH30h/J4b6C0YethAW8Je1Okrs2nhLe/Z9E3SviQq
fFpWUzRA3f35YZe+x9mJvMHpalpmDdokvGfKma/mNwNg8TMp3YVd848K618JE4WCO0q7mJZZ1IPx
NQfAuoGq+tssbPM++QoXJF3I9P83K4uSLYAVWw3I1uqRE5moleR7mjjIL6BMGI9g00NO68F0Gxa1
m/Ppo53HftilmIidv4ObMkZXM/LS8ZP6/aV3eraPnTcEcGSZT1egca4P3aJkU8HgX3t/t7jPBYqq
aeYkC3haGrp58THr1Ooq+H1jPPzPq+JCnnuu8xvnzmwL02ZnerhGdmx5aJi869j4K/ZtZYbPZicv
RJ9zuR8ypRjcU4nnaLg5O7TIu7ZW+WS8vYzSTxThlx5ytlV1ukQTm/GQxdgu92RwF27NYd2CNxpM
P/78wi4947T+/7XOI27giGKgwm/DrVJqe5jq5T1N4l8oUHz8+REXVtW5pq/vMmCRCSxSlpDLPPM8
uMg4gL7+7tPP4gCILZ0feWTe9ZiMzXsAD0HqJvPrnz/9Qhg41/JFKF+RIBnm3exPKm8SBtnrfOKB
ZtFn80eXXs9ZEGhGG/To+s47BruBL7oZ4aKV+NtnFjIXsphzD70t5naYzQKD4BEL1EzwUffj27DJ
9kpHe1Vnbxww5T+/rf/+KuRc24e5a7KRLJ52DQ1kFftKgfr1qQPhf+9toFf+d6kSG5JNdPO0G0Af
Apj7LiLQONNp+G0CDIq1688/f4tLzzn9+7+2hLFDzOp0nXYsEE9NUj/IlF8LPdxH0/p8msT5JPxf
es7Z9o47k3hkwC9jg+B+RHMWndMnYb0uTxUr1+Yz2c2lX+Vsi3ublgMTBN5OGCIqKQbpCgT5z3zO
/nuHgJLzv29rw8wHa5Zx2qU6/GhE9AiPid+9rj9Jvy798Wfbm0su+15HZhdTnuZeGEE0v7F+9+ef
+r+jHzl3zhNBBzVjj1tJz4zhu3U0a1hyIxtZrUkoQG8cdfiZRft/p0fkXKrHFsKiAFB0zLGOu6aP
r+E8f4s63DtO/Srr2e9syQ7afTZpcOlxZ4e55iyd5wSPm5vxuA7zDSX+tVp/xfG3DAK4ouPZPoNo
7a/e5LmSr2sRaDIgaHaZdmM+twsOrHFY8mwOHybJPumCXlhs53I+CtOFWcbxuFs6s1SSZ2Cheam4
qdfA/t2uPHfWWyVJkm3ELxTgSgwss/6xRe2NrPm9TZaPYOg/c6i7sP3PdX0bl9HWo+Czo1QMeefp
I8iULcZ16vt0Fr/VsHxyj72wyM8lfgq44DnNmN413cJzHYFc2m5a5WOyABzq/E/20oWdeq7uY1Ek
xqBN8Jh54IWouwC9htZ8kjn+c4n4/7dxcm65Z4J1Y2asUUCAejft0LJcSdXVvS1gCQy4J8a3O8+9
xZE7YK74jjbRUMHydMyDIa7m2Pl/uT7C/413jOBRBoMqOz7MvxMCNF7S6ud6CG41bPqS4e/G68m5
AhCXBRTfV0qrCKhyung/eqFe/rxX/zslIOcCwC4IA9aRIa2GxMgiGixwfDZmezZJc72gBvEKbXZ4
1UnGqz8/8cLaOJcCBgKqwg12ctXGnIiLKQjm/joJhMo+CQyXHnCWG+gpM7i7aFplPNsBRZgL/+8S
THIu/IOn3DCvIT56CcOrrZlLCkji372WswwAkJOG8XTAazl5b2U1xmnkYD6zJrwQLNPTv/8rj4EP
DqYe1j4qHXT5sepu1Kgf/CT9bEdeWEbnhnsxPKb4SFRUKp39CoWNf45JZo6GMfrUT8s7se1Xo8e7
ZNzWK8cXsx/U3D11sBbaGQkUp1v7Pg8ExokEiR4JTcK8pd1nboMXwt65cFDpYGiF6VO0AVT7LgaB
BtkWbBC8BcMRxerx+c8/4qXnnAWExut0lFmWVFJ70x5DsKv6FRrMg+xruVl+OyNd+Wx06Z9K9n9E
wfTssjC5TQ1GTWInc/h0Vt2eIgbm5sp1Ba3KuXxx+dVNdN/uXDHc62O2R/zb1S+6CPOuNH9nOEzO
9YaxIIsDGE6Acfniki2HT/ani+qfmPAfX/FcI4c5TEA68XPtRpdouhYJ95AYld1k4mTN7Qz0K+ZC
hxPFlo8hTaN8MKCS4IsqCvhoMW4D1lYvAKyWlQ7qtoMz68CmYD+JExqUEAspJkoP7dwB71vb0WKG
pCHBNahdht3KrB299OBgAzFA4BZbLb5EmMnpX/pAjS5fQrCIYF/kw6GUtNIfdAFYkd8MVSDAiK7L
dVgskG8R7XH9YU3vgdGatUfSkblA519/iQGDzAWA41/Hfot+A5OAge90GzwAY00iWd7iAr7lVLmg
P8KdjB+1TfzbVdGTlGZtHK6ikkpvulIxi5pvNgu0d1SqjWqTp/0IKHvSJFdWReLK+Hy8D6cVrb2u
gdZ+y3gH3oQk8K7t01UCdN2BwN06W1ext0V5EzUHwen2rhZVA/8bh5QUAqxyVzJGZJG0fpZnxi9E
Eu1ISJsDfK+Wq0xNYQXZadnp+Kce1xuOCaAiSN0tsUMV9xgpYIu9kigMd3quFlCyizk99DVF3LuF
QPEelro/Ta3zcIjAztbkg3gfGDi9zTwXVPFsuuuTgLyYIVpos9kHWQ1WbTJnSb93FCO7Dqznu2Ce
oyIjrL/jYQ0cedYSgeIshYUfqg+bj4XjY9y3bpE3org3zivFHznpct0Gejevws8tzqXcwLc77/vo
B1nDw6Tcc9uaJB9tfJSjuGFrVKQtuVu4qPw1uw0B8h2X+kvLl18kiQWMpXWJIbQOE6AWY6AefwvX
+sXM00O84ecYBpJn6ObslOAf/RZ/D5T3hoHYj2mjtyJtin611wbQB+6FXyxJ4JAsV+COub9LB/6e
wVsG08NlF853ounSYpLLD8+2Uw7G1y5qhpKZZ9DtkeFVtYZFEoj2OdKlvd9Mrx0NnsEWLiN94t33
+ols8Hyl7jYO34IkrcBX2Lk2vlFhCoFTBF6wFbfUF0/11n5bW3cj0mwX6wXki6H0ABGv5YEktPKC
4E5wMJ0nOt1NcOrh01jW3D/0fruH98OuMdneBu4Kxh7XNVf50AbXQz3fY2imLvum3xleHwDpK5qu
+YqlmG+C3df1+sb8qQSjrdiCr3SlD93iqsbpgtW67KOm5FB9qRUucpTeaXyuthah4D7q+/28YZV0
egel8IOZvMok+q5eAbbWageQzc6CHBFMtC1HI+7rZtwb8StNfoTkhGNvr1STYUoFSV0XH0M2FckY
vYUNxwUUADd50LR5DrPw4GsQXGrcekApuAqjsS0xu3wTEr/qwMjJAUltimy04mayMc9NmH2sQVtl
S/8QZiAvQ9P8HW7SJUnq725Z77YT3MItRyDjrwHyrEYQA3LpK3vaWi/gPT2kbfjA2PDhfA22Outs
jllHZNshrXfRpAnmg+afgDf/BCjjnoOoUw2w71btaaaw8+5HmmB2QU8SkACxYWGYcsGNt3TJ0uT1
DDs240XR161j6hmAMqpzNbuN7YwJ1Ytp0W7JISpJH+Ywi55b52iWp1aZZxU0awlMKJZAN4pibto7
f2U/43UcCwV3jqTA/zX98yJX7yEKDGyGm6GHmrL1AoyDSH/CTDbPuvSqiQh/iyQwH0UY0x4wAS6A
uU7iwWWv1IKlmUOkD8ftpo1ShACm2QxE82xeomVRr5LWsIQNIoSgcoP7GPY+13I3wSC4BPRr25FR
DOnziCL/A4ObLNmtDOqaY9wn4nuGLu57lqI+1o8juQO+3bsNXR8VzAoZlcvgalVNzozeTgYUOU28
Bd2V9OL5e9BCMdtmrXcNERQF+ZrUNfx1x+6xZXDKx0lW9++94uY0fx4VfNnUDbNNVqxSqgMP8YQy
dMJXByIGE6OlCZPQQ9KuC72hG/Gi2wwohNwkg76bG0qAQTCe/9aKwCXX8zgG5krURvtFKDxB8ll7
+vvkuPvOWKheNYLIAUeH98ZatDVzi1cFGTQO0F+r0EtQDpOmtxgHe+8kxVdIQafbzdMQY0cuHjWl
mDKMXkLARI5R0McVm40aq1bMtJoBt3ttwqz9ujHee1WCgUv26EbOSwQs/CnT1B/mNGieIQT1f9Q1
TB5AQOKO3CySDr9rORF/B0SS+TqO1AE3uoj6ffSS6K5rXPiThEuk8ZuTfl8H/gpyumbfOuhx3vsI
6oEpgMVWPkp4YC39TK/FgILgRqZk13UivXJZKwrmI3V42JSgV1MX+g8ySoYnuGWo51UOwz4ydMSu
jpJMFXOfoMjH3Ojv8btlh43XQb5EMntrlholGpqOOKKjafsyQW/QHrMwSQ9DOwBUz71vYxBNatc5
0iRPPR2bryc2WJj7KIz+mL3QVJOhU3iYJ0AV7g08fl0plhZH3hr1JO8jqgbsyUjcJ66fdl7g1Y/c
xvZdZug7R5OfvvRzII9oAcRVo5S90jNvKnhfh3sap+sd4u/yPVm8cQIPwrZlN8/ZPqrxN60rRGEn
PHZBaeY9xisGEdakhUo2xUtGRPK8tcCxuXwZXaDasm/XeEEvKKXkZuOLjIt0i7rf1g/kQ9xOK1zJ
F36trE3fU1LLwuM8KKBdJIWNA4WnDDgQceXjmanLMW24+JVwNGd4ASPwFB4Y8WBjPyqCekLRE6z7
zCc5ErLsfaQ0ehMN8/ntAIJujRldk8QfCt7PTQlOX5AWmV8Hy6FzTRjvnJr8FrnKBkrI3mG8ed1t
GHXy8m1x+iGGfHbKHelr/zoLPMgf/SFtnwlflPtJZJtEFazJoUrjnY8Nm2pu2W9hhLJe7otNDDW8
HlOzmN0qNaqRBzwBBdUd9frkhxQWsiO8ST96mmWC5nqXdLRK4H1TjD1bBmR/3Wx9UmAyWeoiiuIw
RFalyFPTtuE3QernGM48xVwPHsPdcmDPgFYtSx4TltzBY8PQb1MMTZDLYcFWD4eaQfC6JTzGawSQ
SkE8WNdB6SOPFddEkVGXBqH0SY01a25s28UFdZsbK7k6vRbg4Pre9wRfaL31ZU3DK5rFadgWfeKx
KcvnznfLD9t5UOrDixJOKdpl23IQPrRV8Ce0meyTYgklba4bYbr0sY+Alu1z3c8GdPElXG8Rf7K1
Cps2EDvbSI8eB2NjrwQRkfhPAvSjpfTdbOg1bIpFtrPz6r/Do79dirojFkV9IdvvtTtdBm0aZvQq
koPq8wYeVVvuq1C9+R3yk9JxBvixFG6LyymK9TfpI1OG0lE19I7CI24tFdPxdtuOAGk91BMMnXex
tB6vMixBh/ftarfrZLamJbcELhqKwVO3XHvV/MLAgmn3Wgbt8IbfZYVXCy4apiAN903BsM2Xwh8s
jMtqf0KWFkAPCEkqOIkdWptLwirMz6ZTgVngnlxH4ZyJvcKIlClboO2iO7oN6YeYFEKOXlve75RO
PJkvGlPplUV8jo9j03Xz9yGcfO3ntSUBBQUnTsSPZhzgJARwiVzVM0ac+/UWExZTVgxh70Wg5vGA
HhqMPo8v3ebDovbk9ak+TKCG8eDTjeP19PKqqyPWvfhZo/kT1RgxefCt2kBsY8bFc1RO3rQEx3oY
W/Kz04Hg120ykPVKJ3Lx9j5xdv3SRiQKv0LtG9Gfge3YXdAv3hGKn+0HFQG8BSxmcWs/YpAwgSJt
j0DcLdseHp7kXaBOR0sJhlfyqFIntru60YPZNyzqk4fQ9zf62tbrFMQntGUaFn0adC7JW59OXU5l
Mi3HADjCHrFbJ7ipockV0TvVN/D4KTy9+lnJBywp5MjAyVdbCtOAm7Zft/CZO3+cQJTPom2ncNJm
XuHjqct1002UlTg5GS8wSAID7daTOjj6p0H7vW5bvb5yTltd1AqGBm3eraNOr8bUpP4h9E8IpMUk
GRJNkZGUb+CzAGn6gy3SvKQQeCcFZzOwTHUK04UiJEPirqEvTeENOIvN262NjF5qGN0TrLWIbldC
dSTFjbL2wV7Hazav8NyMcUYRKQUESaTb0Bi2sDKxLyuQ1iPDPWdOncqDTVsUWWzCGvDtWyZO28ia
hcTIBxyY5ZjwMV331PpmCgCk1bMZd8YbZt9UAA2x+bvvzWHr8tlGQ3dt3VRzkTvwbOkePgkosjn4
D9R3MaKmeKK1scmtjeCm/TgJrO6DziZcw3omR68cbMjWGwIe5gO8PevppdeaoeK9oqNK4CiEw/cH
byKZXG9Ln/l3uHmPrFKRFw7HoTaRyHAjE7Ntc+tIhjXe1I24DwhGow8OIrnxtrfJ3GCwGFRIqI3o
mg92pMEhIHSa7+Np8NT3sHGZuEkEmXC5V1wK/lPbcexvDNr5AlLotd5emRe086PoZMzvMIbWkgNs
SxJxa8YQ4N5dZ3yRQLjvEfZrAzTF4eoyLuZjAVEYdYg2C6L2yNt5PS0WScI6hzp78XeThjdGvsyr
Cp+VR7MjCSUZDuheLuGtrxvwgIsx8DqcvNCG23KQKayhwJywv3D7lIiLoDTOOpcYDSYIrE0ofnSh
7O1jpDNwK+usEcFzjDq5/xsbh4eH2Itw1ZtHxIePOoPCtM3Tru+ajwWyWQ/HGxk6Z4tpSKPxEHiL
v33ADZjPB6b5HN6rzU7BFRgn7iHtZ3WYUO5eblBWSPg3svQJe/PHmMxvvluhKC3qxDN46ZbUG0oK
etMw8Mx5Emyjnw9KefI+S+fN/fQAHyQQSwQKA2Alo6qJRZHa2iTXDVPh+tGNqa6PM8mgxkcRD16k
sIPisquUaOrsF4oBLHgJsXpctSAFWh78wMu8F38KM3YcpGjHW9rE3VamC/fVo8D4Oa4JEG2BppFP
CfT12W27YbfaHEaZYit7628uLrKJQoDvAub5h5lNvhTokvkZQOBZvM4LLs3gtyEXJKgMRfs6tona
Owg+ozLh3OtK5WeafYhEW1xnifPlgBvpwEOaA67gNORwyZx0EBO1OriOgyZa7gPlQ+m3aZ7RF6cR
PKos6Pj84pE+w7JLfWT9rEl4C7vXmGyoG3XptF1r0feey6WNR4GeDtSD+A9xNI236PbhbzlJ/Lr6
dgAiVr8gbQhRWInadKJHuI+1M1rn6hQJ6hHloKQA5zAhu9FnoS5AgDDdW9uhcS9vlGHjSnM/w8J7
1dho5HVsx5Vo6CFxMpAiFaT33+A/tApS1nMah0gmk0Vg3MD3NUWFYBnlctU57IavMSo2SxWmnQgK
nLWTO3p9Pbe7GC2HGzozz845CZRcjpmwWdMXMpFo7llIpOYSHZIAnlfTusXX6AOm8RefUG383AgW
LE8wi21nWdgJhhw3kTecsHdy0sn61lnkQbaAPrRFu5CsIHFf4fzGsaNmdCPuhzBh5JaTmtqHAODx
FiqSeOICKgyCgDrli9JdXdGWI8ZjoKaevzEpprmtYqmaVuUMfjW4y2a9VHGfC96uCgDxKeky3Msj
O/hFNCXeFORyQ1kYFYDOBOkb2yTJjjjjpX8HWs00V7KPTYffJIQA7Dklfhp+GM84K/NoHX31ky48
a1XRtrgSszyW7pRJKxjMxt9HqEYimzPikVO9K+6jjueYUDPikG4+b34ClXoSw/M5i2OViwnZgM4H
0qqt4sEWBxUosE37aL2MCpqLZKR+QaZlnV9xi97MHUZWSFAG1MX0EGDk1/1uMBsl78OW9gkMSbop
cu9Ke0yPFfau2K5xcPUzksIsHn8nTMF8KWcz9umeq9QGt33rZf6r6z2avnZxRw9RbxRIb9KmXzku
9Mv3blRNWraujzGt4sbtlKGmDBVKZpYOuLPRONQtsILfEgtP4NfMYqu+ZxrCUFF6KLTOYF5QsdhH
KDa7/nVbYNCazxg9kAVlRIR3K4qofo9cDybTVda6pn6qJeqY17NLE9yVpc8HlEkTiVtMFErM2Sa2
XnWU025lUZy7SQhLkZjojl2NIdEZhmjaCWX2bdH4CUqMDDrvWqu4HYp10afDQSZj3B0nMeL+Dukq
6sU/xeT1S+Va2SWHhGIKvdQZlbh5DQFcjuq8QXLUP6O0RoeXybXecJ9s4aarZqhZUiAatOyHkh3n
u21YmctylY5KvAJFyAy6HSHuNJiNYWkxhit6pbjToJj7uGEaCcVqS+aFl14C89HjoB3Ax6iChOgO
z2a202NI8AH8etWUNOBI4udixymjY5sWQP2kUwW+heMfDZ7o98WqYNd0H8WgRxRzW3teNU+YatlH
AlMzFYkwboSQlPnTa7o1ITYlg/uzOiwOs3yVH6IiC6ouD5q7ZhoHmFr7oMrfjmnAwntMYwWYWfV7
hDeQkbYW0wt5Z3hUkx0WahweHAv95D32WxBQaxhJmTu/i5z33gfzMjSFS1ER/W0DLVbwbhYR8avU
LjF/d3YZtpuO991cBk5DEIIfqTHNVNRNZ6PjKE+zJCgIaQoiU+pwhPYsaMoBHI/omwt7aQrbjxBt
I/xi9D7nCNf8ZdmGzLwyWMRkv/qZ2w4fi7zA//CIVv1a0D61OCxHC+b0ndMnRTZt3ejdYjRmQuVY
j72W79nWE37PIAygX1LVO9aAlQAA5lo6OyNS7uEHZORVLzgwTquuN/vYEj+kjxgY2fo9Wk9p+jXj
tJbNzkuGjl3bzUt6vgOx0cpl58FvPrmZLSYZsgphZd3Gwo+FHA9ti3G0fAVp8HnNYgAPcmUTk37x
2mWyVc2wuB5tZlT3NYS/FS0Yrvfd/QD0bPYFdc4aSyi2W4ask+Eu5R6TdvbGZz0Ron7HagJPxAW1
8AsI7OXU5kiQmPq5QQuX3KgNFc7fo9gM5nt9oGVeo86Z/mYNrQy+LEvS+cdNz27e6x6STqxoHQ36
GpdLOHgT4Zv6NdyYmnaK+Z1C8XnxwodoaaM+zVFFIek1JmBXXVkCe8aK98BGDbm3ZEod0C5JkBXE
C3o8aR4J1jWHdpqT9cey0CaZ8j6dXPDiTXVv9jyyKVQOuMcnWwWMZM32a6TSFqeYB1u1L/BFoQqF
8Tjqjj0nbkGVCbvqC0XZF6UAjyZ+rQ5yspKh6L3S+cgakpKcbDEm+zhDufox9nuNPH7IJCMmR/Eg
RaNJRV2rwt0EuekU3wnjW2pvV1rzyVUTh8NeVMVpI9ybJ1fMB+Y8mElvKuRRC47efkuC7hvnk2jR
il9q0t22iEP1/SqDya4ohsOlYskJrxOJes7U+bqt6LjVogEL0nQYUEOlt9eoynPdeqeKf2+ye0Fp
a9PDpgONAsFG2nScynqhaM7l8EjKTLuzaWSyF0QBKXGgjpHpXrWHVssD0oBxeGzHlmW/gjmhy3Pc
NST+woNY+S96NV3wlPlz6DmYNsKa4wOuhMw5dJAljjKwQbHLSOnHyZxdW724Gvu5y5KbINqa4RE3
MpjdCAQquxNiEgMui77P/KJT2kzXa5Ot7W0apjx9ZLG27m01mreoM00RimZGZiMC0ow5nxMqdnnZ
BPSmxUkDEt9wHm3+zyw4SeD2HPLjFCVDto6oOAsPnagsNHo/kCaOqhCQLftBJxu11awoi64H1i2N
KDSZYrscUEevabOHNZbZ0Bb3VLPqYtRT7YpRrJhqwLpAs+vYYrTT3K7wzlf1vYJwrbuBy7vJXocx
gK1W5OTa7wYzz3YHLyGldqpb/RuUXP2nFmFC5HREU6psAs99k96MW6qzuDPiCpyEv5i31c8E5Tv4
/K8S9XvaPHk1WNK4N4ShLZxQAclD9AAV2nHxcohwKq3wdjJRd2WxxIfczJBDH5G/EXG9hlk3HRF/
CcJiwsK5ZAHVL77z2Za7UHu4y4k6jtHdRV73MIaIOXcUN1b6gHKQWLoiTP0YEoO2zyQ6XlGYjA28
CVNcxL0CbifJCiiA9tfNL4AOSLwvXYpAuyIOf50xhBXjn43B3TmOhbaFTnWw3UbraodiW7uwKdHi
sSz30kaHhV6iLkPNK+tpnS/w1b+JqT/gMWPkmdcgmwfvq/g/zs5sOW4tybK/UnbfkYUD4AAHZZX1
ACDmgUGKIkW9wCiJwjzP+PpekZnd1Skr5W3rF9m9RokMRgA47tvX3p6a/J2xM/svM3TTbWGlq+Wt
eh8+4nV0z4yZB7Yndln9gNJj/0AjlN2jZvFzdjXZV5EvZ06PxwhprNpKhitTgKhcNv7ccnp6hMcb
BuG3oYEy7VV4DWrkBZkIivx8npyvroyz9TMqyr33WYS1ddfVOctEt7UT6+lG13dYe3fKMzNU5xom
pvfKukzizDPQ+dLHPkdX8Aktm3ofWzGKXVwKbfFi6ngdT/gydSqYJclWnpuSfJPz0x3zxbYUE40I
3eDcx0P62bDM3NzFcWQwEO/54T7lRjOdu0Kuzr6i3bkf0gN3UdslVf0jI5iY9mnGur+vmiTDsdE0
2nJBAqvzndNH0r5pM3WJLxtnuuuM9KnM9ySBzT7IX4G/MzQFz+9M2p9Wwqu+rMuA9NK1tR16+URN
HQwaEKI3ZpnO6TyubupjTF8+WapqKn91zDXzw86IbNbGS6pcbaFh5nSymytF9mwGprDKd4R9Mh5i
S6Pyp2gX2lZmNiUdtVj5XnbFTFEb6bTz0OCKmZpXtLGbnwQj0fg6JEpOh8GqNZOkPrPnzqB6+14n
g9Xc2FltMWrqx+jWosJ2u9TRGqZIZbOCUGjanZrL47EJsiY1n/nJhRssRcJGjMRCXPO0OuE2Anlr
km0X0s/QCiz6+sUKB0k3mrHI7xJWXVVvtKUp3uyl77JNKLlJzTiNHX8ozBRLpEM+sdc6msboNu6G
1depS93N2A/FpetXNqOSWztQsze9dYk4TGK/oBj4YeWCqFxGqhEDeFtmhk+O3FLymrsQgKygafAN
w2nTY7WKej3GidGMuHPM7laT8Wl9jgZ2id4Y+yHzsm7beRndSC8R4+NyJnTJTm1Pzo7zmjc0DYzA
E+tkESWPRJdV63AhsZk1IIOp2xXiv5E1yi8EMUd0a7Cg+kz7e3BAMGbPoRXonjn6jBSjaZqIB9dk
GObP5N3Lh6LU3zSuQ/1SlGuhMyPozOfJxH/t61E2aztZafo3lVfdW+t2GOYtHvSlb7gaxp/F6qfG
m8NGvVX9Eh5EDJUcdiFWeqFpLxlP2f2iouKYYTvdxaM2+XlvU6LIKa+fy6hodi7nr6/Z2kg7pbQX
d1bGR8+mV9RtJzsnYnRucUW6XDiq7pybRfvOthf6ygXDjIuT5ToP+uBlbQfBL/Tv+iq1Q65idjeS
PH1YePK/5OwZ57ZkiIB7KWEUmrntxFMrNDe9nVRbHXD+VLSjvo0Xc9wNYR89plMRbxOnKW+FKvND
bzLh4GmcnBy9yw5pJQ3e4yLaFJUrginL5wsqqnPvIZMLYWbuaSGkaTr0iwahbS7JNqoATLelaekX
W3XLqZ7CZzVG6ZclHOVrExfMgyluvCieqluaMJaN2Kzl9UbLQNKdiq+rMWSJNxZhth3Z/+et2mJ4
EW2F35pJdcA2Kc9mJuM9EpyJTlam4bbLw8YFgxjL21Knkd+wPnMKNFYSAkcsxXojOay4iLXoPasp
QDsMZvualef7bh3CoClN12cRzRz6wEScldO0LAe6nvYDPTNnzSjdHxM0JvSpagHfBitAmQfG6jMV
bca4yVMfJVJj7TTpxnY6NOfSZKljWgz2ljWuzm4ZrYTssqjknKuLq7mUzCUqg71VfVvM73USMk9q
m7b/6ih73rqNTM/5mDAkLNAhJ9bxbBdSuH1Erf7VKHIjcPiCF+dz8yijcji0qstWr6376isfwLyR
uahBnMx70yxNkV9DfTC3rcjUM11LteumzkWMz+eNbmaF8CKghR2fPg+++4RyaphWBs2wxhupcvVj
cMR8aO2ueK6Mesk8yy6rz4LWAc0jo4MtKdk+OVm78Axd2pMaupBDx2GDtW12iG9Nfhq7OEFdYYh+
XjVrDKpQb04rTcbMpMr+PkMLbfpQt46uAd01a8T8yJVxw5QPYeENy6ADAVvxe8/Zeq4rNwvkPLCw
JBLlxUC/2de2qx8KCpwPezSc1ynrxHdbzv3RsIqOwzXsHT9zrdHvVC83q82UtG9J7wyyxDWeKrlM
L7ayzYfIbeyNztX21baKeKdnKUP8ygYG4GaZUn8wZOYnwsr2HaP6YOrH+ojeN56NvGZNetU29Vvf
Wcl2jMVysYkQcvcThx/pBGO6LYHK1v1s9HZ5srK+uM05zcXWnN38JZ64KzwYEfUSO5n1uM5JemBs
Mj5X7PYB/yI0zg/byAmYdVsD5WahfrCwtEbhslm7O6S6s6mnCBGhd+PbVDZNGHuYCo0PbYjKvVgT
EbRzX3xJGSnjaqbpobsDAapn47PTD/A1eTFsUQSjm+aEzae5axk4hqwOeUZlFjtAkG5XOXpKhQBN
7o8k2m10gfDnMBd4Gap6YFDQqfoxboZxY5mZ+4pVkafsXCbYacc8lJuhsxo/T8X6IJJ1HjyZ5KFD
A8JF9txnjf2l6eKO8N57ya7ndblXkcruLUl0kJEzv9Wx6zwN2twO20bLzPSIFOiCT3RZaP0w0fsk
fI0oDY/8detA8tv4InAouTvlWrN7XPo0dA4pE0ZOnjqvKbxMM+K5TJiyN7pTK07GGg+AGx08xbQk
HNTG1EeBY4XtrXKyeo8gVbC5rZw3oi+1bZ4xq+HEcBB/OBwBdySPZp9Htusv7P7QERVl9TgPnX4z
xsyN9g3S7602sgLYKhaeak2JUY7hK31K9rmrE1vfwOjFxXUS7RQ+Yv3M0M2WmnpSDa/0nlO6QVLT
+/dW2Wui8avk3J7IRougjWPs1hWlN0KHcFRN+lA17qacLTt+6yT3EuenqETS7KyQgnUN6J5YUbFb
Mm1duURIGkAf/9ek7O8Y/l83KFdESbth4jhboSftxgbBYF1VlUA9sGjPizW7e4UJEQclGlwyMUpM
XWK/mUhGqjwH1mffZwD/5DTyjPyT13S3w/xPuOkvbi9CidnmuQDD83Eb3TbvlRXfKsrKZmfyAEt9
zTAi60AOKamQYx85g880KXZ99Pdq+JNX8RuG+NfQw2he+znRWmdbUZDlQRLb88UJORxNUVl7WAtb
Hf717/sbKPzXlcxt0y2dZZr2do1iGChAJTZGiIIJ0T5Lqnb6E+vqb3j8X5czM99o3GIy5NZWkRH0
xNptmqRO/j9/CfOfyfa6lWNH8JHcjk7BsEi8qCYqADeWP/FB/+5N+gXp7huCauooxBvPsjMvbpdD
6KZXcs3+LDnkd2/PLxh3j/8BDMCWW2U1G2wQtCE4i/7kYvrdN//F+BXOY0KkZQL7yYyGB8oYeiJW
458Q2r/57r+GsBpZbcpF470x1sL2nN5lofRa/QlL/xtP1K8ZrHYrigkHHJdN7LjGj65MisnX7YWk
L6EM4NKaOqTgtO1lff3XN8Tvfp9f7n8l52aYnAKPkJghQofFOg3OYD796+/+mx2H5q+RkU66mPa4
RNZ2SMPG2XR641Y+Sxdk9sMuSkQrWomo9zK37owHLU7W9E10qx4GtpGa0Sm20jp6tqymTQIrriYt
+vvH+O/f5/+IPqrb359w3X/9J///vaqXNoni/pf//a/nimKt+M/7v/k/f+ef/8V/7T6q63vx0f36
l/7p3/B9//Fzg/f+/Z/+Z1P2Sb88Dh/t8vTRDXn/t+/PK7z/zf/XL/7bx9++y/NSf/z1j/cfRVIG
6G5t8r3/4x9fOvz46x8WVwLP1X//v3/CP758/xX++sflPX5v37u4b9//h3/38d71f/1D6X9xBVyA
qyxh6kreba3Tx/0rjvEXm60lEkjflYBm9+CRsmr7+K9/GMZfdEPqUjkcXKaj7g7PrhruXxLyL7aQ
0oVpMQzbFLjj/vfr+6fP6L8/s38rh+IG/dp3/Eryb37K/z6u+AHE51uOME1T2bqwfg0MZy+imu96
6MZeqC/aNXGP/f0Pnrnq7390aZr5wrZ2a2VnB6D7x0gVxdlO+s/JHFV0PZt0VZaXw+c9CSDSoCMv
2ogccTFktVHppK7AgXwGsjODSdyzoZbhxhsgfEN3c4+PJgvWik1QVRXr11w21p3kOhRp9iOss+VS
O3O1NSYr2sSGDbgv869yGR+7ZpXH3hroj+vmVCqtPjUI4eRArN8ke1NPLExnpGhT1FrFEakr2whH
dzd9LmfPjaduA23xUuZW99DWOq7m7hqKfiWxb57O5ui+iGxVB3sSy42VMkQCDBBxdCl7Jy1eV6tt
D8bArDF3sYrNvMl7p5jVtrZi6tG+XTzB7O1imhOppQ7xF4x895mlrYfFrR/6pdHoX6zhCEbi58tc
XK1OLJvcfW50p9vLxsSd2N/QQ/WnBAP5nlYSNgW1f1X2pynVO+rVH7lgQ5NWzMcaYeJUNkFkyeGy
tuD/FXO+v/8xAGps7HC9hw7BicdLYmxzmX8UNEj3OMDhnKZJHkg5Jz6iUnUsctOn2lQ+M0SitzvJ
9lzCY+MljYJUK+29y5ZESE4bzI5W6jrowvTR3z6nS5Gdi8xNz3Ocfs5dMWwXbeiORtFW/uho0SUy
GaquddV8LV3WZ9lT/jr12gfJ5oEh+uTTDMoQu6C8HqLYW5gOT8hl5ZchsnZtbia+OTBpnhn9MfOc
1HZFa3ysUcS9qdPXE62f8rmuXohxifaDgyAQlkt+FHr/UVnvU50sX1NrKgIllFdUA14SuqCgtGIf
x/ny4TY1vY181CmXLrMxzoE9mV5e6Lt66n4mbgNFbzkXQmgiv+9UdKguS75WG6lJ51Ih6u+/Kj2J
qLPz+mxBKtiEzZ9UKm+yAS7ipxan0szLE2L7a2hLv03M5gFx1DrgG593saump8pmfbo56PWPqT/L
ph0IO8J2klTAv3HrpMynpob5g4Zbq5LXDrjwQmDZBEGVos5mwjqz49A4dVybFbLAAdjxOFmx5jdL
3pyX0IHCaiiMoyltjk4XH/pIkQI5Oyf9/ke7rkG2VA5uCAfs2prTqyxLd+fYUembVLTHxXEe4wo0
P68mc2tXXbjJ9XifNbW89nbxvQm18MyFxD2DTB80NVHrAyaYQ5cvN1qK24jm/RLndVCIrPOLhTGS
o+IHdgJqO9hSxoUMzM5yQffhPx6giKtAIekdJmbbAb6aYiP0Qjub4jrCa3iDtvRvanJ+pmF/gq+s
Ns6yVNvuW2H0OFFVtuCCac2N7Cvda9PFeQiN+SBpu6I1n76YPDq8rBt5dKR4ijAdbG0WB38hQvw5
G6Ppyuh+hBmL8IPUuC6S8GK413FR4k0scbMbBn08Naj+2xIWOMilLXwZp8Nl1PWHlTzmbZmxYVyw
cNhzrSV/5LCIgyRtgla0w5kiS3jGCvHSu8wQVic6xvMgN1qZLzu7XMDedYshlZaUgIfJWni51fRb
kdGkJ0iNO7NLtYCefJszb9pJcjp8xgUa45z+gRnOioCH9u3Ibbmyx9Ftl8JrRorRSTzkgHIXe+q9
6W5tKrOO4UYRf2S6fRGageVH2T1Nr/SMevzSVMsunyUOuSQy/DXUfxDWel5x5+eVFh/tEOqXhQFw
tvIEsLpfI/tWMQzAbpbskBwtP2me9EWUu9IuHg17Ott0yVzcJgpe0/iJDiyhtec56YB5dN7zeK0j
L6qvuihDX+g6gyNFnlwu90rM08mMGXCt3XMf9XRzcvnMVIfUy84WQZEe0haDrZEkITiIvAzr/NVI
3ARPTBX6M2oefcTzlMw708TxZAwnmqNuW9vwHCZ2G1Of3syk/Ca0yfWNIv1wtN4zItY5juP6c0k0
HpFCCxS7aDxiI/1iRD1zR2F5CnGY6eD3JnlgDQ4hYu047SF+N4s9vFRG/Er6iGe7GWA3c1qPp9LX
MZ73I7Ncr0jBldCMoHvyH+3drOCGtK9DJLai4r2O0/ScFtrLJMC/MJuAUDrcvNZ8nMS1SeL0CMp9
cSzacPZQeVps/xSsYjsSn514n0aEMbdoGRIrNqgofasWugXQNIdXbq2nqcWy0lQDsx9lBZobHwUn
g4cUNvntAsVa5+tPmAlYEuwom6n5xjw582SeKOpSTDd3rcYo1LWJ6mUL8Nzwz+57xW8sy3oGhsHI
YB/nORz9tD2PoubkQ1wO7yuaw7b+xKIvL7Naixxpw+cafHSajizOHry2iMTzUK0308228Fq1J1Nx
SFT0bmvice0jVIyMrLO+pAbObSZ7uMkKQ56WYQyyasyPdqtAREFogop7YzsgF8DS6MnWVKEd1OzG
eYrgI7zJYu9yyvIUUtqtF5ZuYV+wxxdSPHB1RO4m7pS+wWJ8sFplgTulX52GTWVgrdqWehxTpJGU
1zHPs8s0vERuIZh0mcNJd/pjPsDpV80D1rP5hgK7KUWJaSpC+LMN6Pawb4PKQdRKjDYPinwN6SGm
ryWOPdZlC8InC7eeYcIGIwD631VcbkSWlcM1VNNnbSXv15pNzStbs38qUwHi1H1vpNs+SdPA67Ss
VdCEDh7eptyOGilKZSHW7cJVt89YbM2DhfoANvQ6OWaKTn8sBlG/DPI2/229LFkSOz0kF08BiPlz
PVnn2iy+GaN6ywzYo1DM3fOgvjAhX32ejPOVIXOPZlSsLHdjJUaiH+Lcqt5XBErEpmE6ImW/60Nh
X9xM7vByUUcyNLzp8E0+9eKXUavUjgnUNtPxCNZdz+HJtlgvnuqesgQh1bDLAocc5jhLZ4qTEYG8
i5Kp39iSyzZRFd4r2wncSvVHpwdrSi3Pju3+MWHg+8iFQWS9Vo/al05PnnRnulaamAL2lSl/xrin
QpFRtSLj2HrzlbiV9mhMc+QRcKzwLeMSQki7RADUHs9rtSmt4SrRah9mm7Ath6Lp2Be6T6m8XG0A
9qYw2weloB30MDlBRrcnN9xGbqmOvZrzjUP6Ec+ZXvqROSbBqHptxyzH3pER/2riMrjNzDBSra1v
Kq4ZVCzofF3teKVRQKc7M6s0sWmACif2qwhD3dOjR2FTMUnnh90DjEaOZpx1YCdyLkF7sjQ5Fbrx
rA0qO4ikc7eFiIKCwdAm6Yz2YbKsfaUNw9MMQcOV3wRLJnb9CPNtWqNCfgZ4d6al/sSGPD+jRDVA
Rp4X2Sswq7kMFjf0LS3SP7vmvX8ownOFw1ZOS+UZMRJvMQM+pfXgV4WpnSK9pth3o2Pl9MqvyrTz
28h2A21tbAYlUOrABO2R5SrtMSX5mgek2W5aWGXPGQZAtU5rtoPqhu3aqn2htNNalNVzPolXRvKW
l0HWPUVZHXtJXESXZGTB4HqnsRDBtcBR0eg3evO0AN3uMY6p3ZwcDWlPzxgpums5yxPguTeJybmx
5JcVgPXR5UXVBrGOuaG+E/7dH5kuDwfNNm/IqRp+eRSalZzcZxcvybZUqP1ymF8dIOyDzT6lG4tb
Kj/nR+KgBXYdE+PcrwztuPIcbXkYdAqe+0hQj2cXOk87qExMt1LCGzodjLTTRIzAV/sJlske0vrB
vIead9VH25vdw0yigB+90C6Z12kujn2TOZclohI3y2zwuigafKMllHTEArTR62h5jspPbcNcb1na
fG8VyNKLHLQzqEVK3BBSH63ENpVcVXPUVkHR0sxhALO9GJTOdyf12TQkfGQumVSkCJBJxB00O1Pt
j2enatTDqOnrRsu2KVj7tMQwAOZ0KH7qXa15zcrCIccZGYumBjq//KlZP1dMVeeRNbEPnap+RPEX
Xc9e+pA3Q8bLssdo4mwiw3wdhftsYDbYpbw/T+FFsdt0VzQOpblcd8mAeTvVsk+9Nr1iUGSUHzbM
51JX3yAe72tRnOqon3cunve7M6PIxOMsmg9G1d/u05tgSZy32uTpy/Wz7OPM2Es14uJixTd2d22T
Ruk1Mcrxuiz4e4sIW62iYt0PVtVvplVaV7NXi0f7hJGpmR7tfFUvZfi2vvZzlN5Ev9jBKEvNJ3X9
EKrcurSDfnHjAZYFwsPT+BwDbnNebmEDSmSfZT8Vl1DhYJnTfI/EkG21MA53eowNHQb0pZxq87EJ
091Co7kZWYTlk0NJsTVL5cfCfkcaix/snvLSmsMzKCIGSKtKHyPyfH1pbfrJNs9G14gNe6CucZRn
53sQRgBDudeH3j20HcMgO9Lfk37ND5VolmM6DkE0O7jaU9M9a2XBQEHT8EWVtLlqwupvDcbWspJL
H6XHOgPzGQ25s6FPNnXlNLeuXHfaXK8HkIhdkd8/RbtgMpJUV3uF++cIZz0EoKs3FZ/kuJpPucSQ
z6PG9jPGjQ+zHIVvKjZOAuxo16rTcB2V7V6FVXOKWzKFCLHONoV08pM+MjnIkq7YV0K7NhbLFHLc
6vtxdiQhMDxJomcuy+JKwzzyhKUvXCCB7Ck0j2JxErw5AzkWxcAz34jdg2tab4JhyaUU8XCri2nD
mRwdJqlOFdOms4phTJ1yPXLa+TkdblYfHcOc3l01Kr83wnyvL9Urv+18lrqCna/7WxmR6SdjR39I
wpGEg5qWpWPB1K7sMKPMhS0OEWkU+3LCDD10ySZMrPLTFPGoN428BC2P04tQjdyDBH8Y80qXSrNh
y3Ejw8k42UCBh1KLd6PrOsfRLs9xDW/OFA3vX68dbF5vpeqzkNi8zTY+m1YZ74oFEUcskDUyzPw4
Mg9jUpzr4Zsbqk9pHp5BL2tvEM4Hmu99xDg9QucGa161XocLZ6ziaEtMKSrwuF/ydga6SW4M4CPw
BvE57/CJ5ZZ9tc2exP9q/ZRNtXMb9tmkaM4bJT0AApxKekq7rtatE6mLdGwdYrISBOEcm5xwPBpd
YOLxTbmQatJc9+X4iXjfo039nrs8WqZSvS0GbGIdRz+0nKBegouQA/Kc+al9mCmyD0BmeLLZrVDo
7mHo+l1szAzDqpzxLUi9NJYPQXKQB8Ra+laGGqGIR8P433idYaa7ltktZgvAZKrLYMWe7peJHTip
/tWJhPJFMr8A4+x0BnBEgm60waRQN9tPgKaOn7TWN4X9Y+yDca2/NMIcgq7IX8Zx/Gwse/Q9shza
9Y7/aCesCz87gn/JLTGDbu2NgCryIvS42IWl+ZOlkA/MKj2hMB+OQ+TuET9+OmYBkhDqGnzrGm2c
iCm7Ia0drGZ0sLTuMmcjy5AK/VvVz+F1ZKJ7zUQIaV7aycbCy+YRp7sE92eCD8iW0GHwsGEO219k
XzB5tvK3MsfRoAGe+hGaOXDs2h0Rs0O6nqMN+2v21RWkpbukUn/oIhf88W5qtEEEA1EV2bVb8B6a
eXrF8cjm7YXB2ilDK6YXlCOcySy3FoSZN8VZSb/ZfNj6fbhK/sEDa3mtjfZmAnF7XO1nMc2fmq5S
p8Ixii0shuObcAzbus+5h0M8F1lvkfiSjr3PQmtrW5AicnOWE7a64YEMDA89XkNn61e/F1G/KbLF
2ojC7QOrq3gSDskT6ui7yTz3DIuAjzXtQnxZWU7fT8RDy63RkNn/DCl+o8Y9QWGMb7OKUl9NGvQO
hKKv40t8WnHYeIVT988cJAHfoNkoYS+7AY3oaM1j4A5a6cObL0FK/ZX05rbuLOdL1MdPRqs9xZiC
CNQL231rD0mAs343huItzclWoRfwMJ9jIFK8MVIjfyDL9s3abnl9E/ZTINeyntfdXLLAGys5rRT9
DwVg0RF+gnd2ZB+MNxxJ/XrrhOKUJzUKkdXmKKr61tNCdD2jloEh+29YM29hOzoXO+UmWn+omYPW
4iHn50P6Krr4+yidKVCh+ZZJZNxImb5rkPCSx/mp7IZko2YLT5xEZ27wIlFM1R3ZHVb0qQi1L0U4
+L3K0i9ylE949SKI85SRv/kgJ6u4tsBpRLloaEuNycnQFX7Fuf00EcwRsc+AK2k76lG9bcvqsail
/ZCojh1jtl/pwBnKtB9jQEVPlyQacJk2J9NWp7GlvldxAy6Cgz3v2zvFkz83igJrZVcfjqNvhq1x
fFN5YmVKngeCiGBqG9YmJNYD4Xr6LYkJfip6HAULn3U/HXK6olOm9ficSmub2dXo88Rdd42yT+qB
mEn7lZh3zoR5NTHIZ7kv2y5+YxXj1jHNs2j1d269chOuqDZIzu51wPQKzOxp/Zo+xPEBm4q5s+1s
k5ldRwlnqKAlxsHDyVX5pOoUHpzWjvRSlM/qOU6W6FJCUxFeMZ3HhsJOkifHFqs7000VCD8EFtqz
CHM7Da7FY0RlWyHtn6wRXLZ9n39lr6o6ZEt5VaERIqqBslTr1WmdaxsB++Aq1AMMKfWx1jrNX9s5
uqzJsgRLGMil6q9FjXVHus4X1j2Ynm1lr1TvGWgzUB2HSZTo3500Iq0S49Zg8r5G1MGJEbAqyd6J
hkumihSf3pQdZTlVfjbcqtIyDzpSpW+E8ujU63nMerEdG3fZakVxnAtquBwIKSenYQdkdS+ctyDe
n0m61nwWEQys41YwGeP4KR6ZaTbGYzm6QYVk55mmTL11ADOsEwcFsdV8HLaHYhilN0DXdBgWPSsT
Np6VDjIM5G6Km+dlQZVBqXjhTAAjFnh+2lg+LUl6juwVZdqtG2T8yU+HgRunRHiiJ1+qzPTCov/W
hql50uTwmQa8CqA3vXloqn26tSYiMwzuwLYe7T1b+boETwcziWG3tBBJHddIGenHRct53PRq2l54
sM0b7jbFuceDwM2dI6mMP20nxu4QkY2Thl2CYXxAtYc+YFAwvtIfaSRBWB9WtXR+l7o/CvJbTtSF
doZSVN9duP3akQBQFE0gYsC0cb7lDe7JcVXKHwGftsO6RF5PrkLhIlylaitYY7IRyHTLYH/FzZRt
HfvHbMn9stYvrSUOsNHWphjqU0JwqOI0wKm5d/ScU6J28PitSeXZjcRDM/fICk3osdOqy6dz2POq
okl/J1AKirm6e+6Wyp+0/DmbQhHYWrxPVtXtE+oqjyT3llzFExLt9xamusjrF1wm2E+ycZtasISC
hTUpo6CnmCixewqRZiY3x93mRAqcmYLcnEFVZ4NShkui+tkka7mxMnQKzpMv+pwe7YK3npXzQ9RH
D+akt0BQ4pK1sCKDlmQBZ+3XuBuN/WgycqsEV0KrkAqz9m7RGcW5cYhsYsl9f9T7/IIlwER+bUZa
B/gTDupKs5+w7iwHrKb4HwDruz0gmTroiXsvoBdvKUIE69w2Tm3cXeniggrJq7tFWudskgVat3bk
BTYc6d5qqblSIrRwEsBNCugteWiBjv2UDxiTxhQslukcLdfAmRR/GZJCBWacmbvStD2hKxGwiOGF
EPt+I2YIyVxv9p0hX8M6f+ur+qcgbWurWXPnS2aJJSeUM02HKlu/M31qUS80tgNEd+ZVC2/uJ7Pr
f971gOek7BAXE3FOIvTQtd9kttGf0jH6VJvucm0FYYluT/hdaeC310c07kHAbJuOuzPlWtJYheUO
z1MZYOx+a0yR7uY7bE6ExJdS2MUxHqunjopwPyHNp1HhHrjjn6akHy+KsA/RhNFtVXm+LXG3b8ie
mQmLmrMzbdixWQts7biEeMwOLGSxUpK1/hdJ57Ukp5JF0S8iAm9eCyjKV7VRuxeipb4i8R4Svn4W
mnnouBMTV6Ougsxj9l4bsIpVBx5alLe56eMTlz4ILFJiQlGtblBuW7ZBWbc/vY3KmD5y0ETnm+gN
wsa2lrArRUiZOu3TtMv9SaueJ6g/59aZrkoKCq9TZiWoN8cTflLDNwBcHLJyeTD0iCNHVfJDM2Zn
hvPrr3ZQOc2KMgKfluwNXI/vSmxXfhIrziFtMnAXThw6koGya+bdEZLCeuYx8lgmsAfEXBKM0pjv
pbE0BMdV2DXM2YPgMZUBmrD/6spIA7W3+2tfDN+DR+9b9ma0SMtEQCycu9F1T6uHpKLKHYfSZdCu
bWznh3hQfi3qtTJ68bsQoRSlssNM0L7KzvCHwfmwu+akUPwwf8856+MyP/NGqMcebvzICbp3ZWJv
LCxmWmt2KJZi2nVuvil4S7aE2yKj0+pD6+H2XcDoJY7lhgq5kL53LMys+CIw9Qpk5he+pmGfQfM8
lHZ7MalrRt1IdouazpG6JgFr0+HQjv1xImHq9O8HhKT31damg5Va6b3R2AVwgWT7Rc+yO0pql1jK
Eya/JMhxxIZUWafRq7DiplnzZHqkn8m2Cxu8mkE5l0uAopZvXGHFlW/HNKI7ZmWi1YMubf9WeeI+
lGlo9ySDGofMzNyjViTaQWDGRJZG9MWqG3e81s+Ty+6IUXh5SHNo1hNjPd5GSoZBm4iIyJUnjITD
MTO9U1lOuA0Gr46QOSbBqg/apW6Td9QE6X+LpK1mqrtLRr09dszqH40rtXAd5YmjWgaS2NaoXFfm
2E3a+U1bXh1NS69NVoWSnO4LZ8AcxEUPqKJxs0tqPSHCzK6IXP/Tcezt3aIZAzvRSz8WNl6cvHlu
1pFZO1SUtVIhZhTpTVY6E2hbuQwbwcKcn5diiJqRJVi3NUR6EyNObkfn6nXUBlrWP621np4GvfnN
KWqcXV2/dAnOEY1M+CiHvbUpu39BFCOShrlD4TpRCQfp3Cs4EGFJs7uxFfci0nx8sfHzYHu/e65N
e50zbTB46q7/fkAlASqErnxS4FUVujpj8+mQ3KrjddZz5VRyUCcNs4WkzfgIgKhgeqNdxzf60eY2
7mfDoVYye67MNHCMor56tTilCgOqOO5pagwWZttodzBTL0I4dPOaUuVR4zVpVGCuJmb4kyR3NObF
jpBBK4eRIQnPyviKt/hk0lrQ12p3XczTtau737Bp9kDYhpdyaBbyTDIv7Dz9kaaFzsvGdL9ONXVP
S6J/II7wqxXMLXOedycz0hCmM1NyJTPPmTLFYRZLHcuWK/Y45N0DWmLdN3gyz6YGoC0R5vfirUel
0b8Mtj7k46R/8tjYWm2GGAqPou6BekjWfaJXt9yxHWxnvHOT43wapf2ESbDwmR99gPEg9LYOPdO5
p+UE4w0Gmltz+EwSHT7dzrmbeuAk0AaKJ8cU70l6qNmW7zQTuyRl+OrnHa2yOxg4mIr7ZBhv/zAy
ycYqQproRZMysh/V8kuS1Y/FM7haJRdIZc9h0rDXm8SzDbggSouBP109OtRjSeuy6RJ7KDTU9p7N
UmfMoRsxisyqIqMldNVgzbzRF8tfBdJyqAtrBNoynnWAN/uSMzmsCkaLdQos55EN5qs5NW+eRq9g
i+EH9P8LJuqE7FHtoy4sd6fVKJ5FZUeD9t0MgzwZ9JKb6erN2za3st/MBtaPFG3gka7jNOpHK+ff
SNPP8dCL0FXsZid/u/YvBy/OfrJTLsQKUcFCuZGAUi97ZVek67xtbT/bOfbZie0g4WDNUdlzSptO
HihrkFbaudgcyLPlBA5akm0eexis4bJkqY9xv8U+hqDEwVzHR8o9HxQDlw0m9bmcZeg46+sKmxve
l3plbI09v3bYIhp1QXqK+qvWFd9kCDO1Ir5SCys4ax9OyhK2xr+zw56L5Kht+OzHd9YcadhW6vNq
uyAesdzSTp0wYb275bxGY1JiHMgGpuL94muYjRiXjsdV7x+p0eBH7Ys3tB+Codwr+66XfHCezJap
fNKPmBSWFz1xMfbisN5hH/rSeud1VsXZ9J5XWooW4gGqbUHaoKneBPWugjYjKT8xTWCcx5/l9wPd
3TpjvZ91/FKcLntVocpb2zWFDjAQR6dslWPD8lP1yls5cmqpC908/BN/MePX3vhTZNiAl5yQC8Ep
nvQaqCUdsYwAuDdZv+PKHncZHCC8qPorJK6Rzx+bqKY1STSYbN/pOf1BLVF3dVkIZrZgt4sivsnX
DdYi1V3sOo9u5cSTGgTGQtp7nGMMCszltfL0t0zXu8BM2OXrJdGxs9Et+9QsfkNvpp/iSdp58ARC
3TBOvGzeHlITe+Rq+z098ztVz2Lrmtsuv+b5yhyaBXQz2AGIRWCD9Yea4JW0Egb7QqvxNi+gdWTC
4Gwevxzzbgp6J5HJdidYLvlK1aZRMi5pCOYXakPcfDioxfx5sz4BpGgAfDJ5qfj/xkOdTPkDRNwc
OMhZID/82eJzeoFUysjV+zja19za59N305e/EKS9Wyp+Tx4aZfmTZya7cbuvfVANv01dQsvsxggi
GiHGa3Jw7fK2enQD9nvcIhNLGr4ykfQf6cL6R1tQ9BDlghu5irw1eVtK61ah1vLbRCqBCkXJAt4W
mA1DztGrkV8UMmgKjjJ1eh202neeV1wq4ANO4zIJ362oABNuDmkfEWNc6qR8WbR1CeNiPaZACFgV
WC6I3epUpLA4PVLc9yuVCaqq9tyvTTSpOcRd5FD+7DRR0cZ4wFHfiLWHfNfV/2WTFjrrfBvqmfWy
zuNrYaAL5KSv+NZmFFE696UgWK9tkfbQ/EAx6vC8dy7YKbN9KmCh3SqzXbdVoA+vJ7kUSIRCfaUb
mbpCPWcCfEhqKsIfCYEi/QJRH4IB810g85t1v0SE+YKe67o2BV5GyVpNwDmJPBiNuja/tXaestMZ
3GvPjlRCdabcwvMF++UgqZVUa+ABTryRNen2Q+2F/v9/MqZAASDIaKey7vGAJW5cnFvaUH0BCE8C
D8zF1TXm55G/40E3xvSYFsaLZA7zAM5oPqyeFRT7phYCzDVnvRUVKnd7Xxv6pWF6Oq269ixnREnd
ilp5rCm7JgCSgQ7PFhn2b91Bg4D64qryEfrzXNOSQbPtRNho+hN9WtiYSsGozbxl7fqUOvPF6ToI
xS4kSH20D7MzMYlYhjDjLA30elMekkE0rw28eN24OHj3V7ojbJlTdyliltRl6TyM2FhCTHHWxYrG
oj6hmwodLVkiZ2bsPnXr6E+Vrh+qpTMCpD8Wpvd973wTEKqfsNUfaqI0LwQEOPM9tu2ddOP2XctB
6SRjcoTO8KfEcOWoCVsEvLZLNtYH1kL5zRIGOU8LT3ubuhx+Y6k9sNHsV7bmh64HNeVRZzqEi7Gr
AOPNmJTLu67OjEzUU1G30w0eRcmTBaMrTds5cvus3burcfImw7sZ6rg9p+rEC3pexCpRCmTgcfVE
9UVhuGfFwyEpDdcJpCkdXKmLEZpaxSQQEeSSlEbYSwVL3GIR4+fqmLCmOqrULD/iC/Jry9F2tt2m
F89jMsYbHR8Udfy29e7Qoxa8a6POkmDVQJMA+Z0sLZrcjkG1taTsOJAsVZqDRc6jNs6UvQK5/FDZ
un7iKetOycSdJJtLnjB6saaHwQblXuRQW3smBwieF/1Ak2Wga60SX4Bqhv3qPNt939wapiPB6jiX
hd/6V8ocyDDUPtJVx/NXO2eoVyKAUSnv0vdkQyDavMOc9HYRAuZgmYcoCFi9eEyG9llVvbZn2fci
YDPdGjNhVx3TNwxG6e3samZ77mhnbRmwtGklqGXPveX6WvgYgAOrqVpeU9c4dbJ5WdHXzK7n7Euz
540yspUaEdcbNK/7YutQhScFV089O2fPFaiDcMsjbXipB+fdLWRz0u0KIlDTg3xRtbPhrO8mLr8z
F7gbwhFkhBYP6U2ULM8S0Yz7kery3IJcdlfbO0jD+6NaqvGr9Na7N6Xd77RnWZipgesYpq/LzLwO
aFECpcDpl85NEtZJ9Qlj9Te0JNz+vF0WrBW1/siNHHtsU+5FtdRBPcZcxpJtD/XPX6djTknq72Mw
Kk7YdHz0CX7z0pnVCPkFxEDg5pPZtSdQg05gSJEfMcTRY+GfY/7rYpRgNZ/L8o3ixjqiUMdLJOKC
ibGiPnfJtWT45BDV7E8TW/3aZUCYLuJiYnePDO00FZ69a5TllANkDll2LweiadKiTx5pn6K8Msx9
o8CEqT3mztSHM/C3VokmW3tgcRovnUl8RSWna40RDg4FPkY9mOqcw61I/3L4YNrvi29hkxSkHwUO
Wv7KA4IEVKQtgyowX3JfFt9dZv0B3+UePHFwZ/UNV2kAlsA8QN2yAbaXZ0Rn1WfYm0n2zqtr74rv
ArjVlwsLXjb8Fos+6y8WXvsQq5uBlFTFTp428YM012JHSHGDuVkzD5CY/DEGRcJBOB+pIF4TS8+R
rYzFpQOuc8nWqqbFKnDTZ0m8W8iUeM6LDy19Uxh5CnYrz7ra/U662PGX1bB59M0dXJqN62TaIQVE
FpkQ7QLLxjhcgQzz+0UYe7ndWvr2EIoNN50xKaSJqprLODr07XW/xWpI0zcQAeWzp98sNPOGGJdT
l6xRN1UzGOEF9iCvNH4i2NLj/FRZzUPNc3FmI6bk4x1Onni2yj5Ha4u1evFcFH8pewngoNvG6/bv
n9yOg4AeNfMlWxXNdLUzi7EvxJZpZCyMPYbu6iAtJr/5T7tk04vbGC+uNr6URiMujKc++7UtTwTK
p1hG2yGKFRKT5vgG6jvEEgAwtXGmOwpKWl1ZjY9B/y2awX2NQc2hOVRRh7A02fWgue+khzv4wul+
kzLeNw5EAlZGzYMJDV0Cioqggz3mD0483Euh/GLHTsg9QKEDOZ1YEQD9emm+6fMkhHgzsEw0kDHu
7LUCtF0o6ks/2h2+0+W2wb2QisZKmCgNUA8zra6m7nwU2qoeFYvaAVtrNCi8XEvlfqeb+sbr2vek
XoazM3Z/Y7m0USeK4mYIJE5mFddBkevOKdt+zF5eREC9Xlbg5Ld6ybobUPGon0zk6WOz12Zd2XMe
hbOlh15bdg9NEDJrWvEb0LPh4ekpDe6ypocBmZxV578MxjA7eKws7Learogr3uQMq/PctmKvpQMM
/NkNYZj8Ad55mNVKYYgsvmAB0HQk7Asp093W0YMkdT/6xSQiheLf4Y/Om5wVEDwY1ka7FDElSxU6
W13k57JkNECK4wCIrg5YbabsD9aXgXrGnzqLeUXn7NTYPRKOgSsU0VaTayOzRIexOofekjCvMdQd
8MJ2l04Qggnw47lSAErszDJ5njJffGuSRRqbYNg3tzKvsx0H+RpM1YquC4WQqhjdgXP9IPv0A8X7
epyHCCNX+t4bzFKBJpY+Yx51t4h4+uDI8d125TsgAfWg9S80WvmrK/vLaAAOdobOOiLbRQnTD98K
pJ5HhpNiVKzhsIJrooEQ04Ne/YWFTPZsuvLMAdAf49x0GKmp6sfatJLhQ8EyaNb+1gQRnvJY/1AQ
HbjQa0QaJJkqQi9V833cct91sg1rV/+jQEM9GaD3X6lf032KydtAhhWgq+Dcd2gjrXx5sDpHla+t
btgO2DsWQ34mVf1Q6w3brDopgPncOaU6E+yZcTo0h52ZTnWoq/VzLeA9xnxUhP4gO8wUOAIlyBm/
BVK/t/XSPVpw+BUxGgGJ9uOBm5bXttFgBBvag/22vgeTYbIczbtL2vKkJhmUuJySv9555ykD6dE4
fwoDQkzPsX9lrMAzQ6m3s9dNIFSa4GPj2wpw/sRAgcNfZ76p4UQwp0FHq69XPgfZA8KTcy0Qo27K
KBiIl3QQ2csAmAxrhX3iJvwzm/mxxHu+Hxp33yoL+dLDxwhd/miDp+BYXo763DpbJMrCarIiUI0Y
r8CCMeMp8hMhHUdCjiV8NpqjdJv33tuoSWNEBvaXvg5fU9P2FGu4WJLEKf3U+AHM4p489vGwOaua
HfemYsn15WkUWAfS7E2U5a2drlrBEpU9X7aLkSHyzOPLBtXSPTUanUlh21WAeuqJk2k+5gZ7IfzT
VHk7XYlTjnYMxgPibWtEzCgT5LUzdYOfpxPDWDV7dhis6+rwapHBu0sSczrzXA6vcyb70DJ1smCq
82x6Y5S1ypdlsBgxcqc7qTgtvBFFVW/TeHjjtoBqfKOa8kNh1+caKkALeB0aSRMuQFKDIpUTkwW6
tU5vWVTa6KTRkoMqL75yy+b1nVfQDrMICvthorwjWwFBQQfufjh21NZ6dWKx+WaZ8rWVE5rqkSFr
RgWRlwH2wxtrW4BcBQKL6ScvvFNeZuhzExVfjwsVc0bLj1Dii+Des4zVe95hRwA+oB5A4zj+qhev
88iCj719Ga5rK329ce17VzV7wdIqVBF0MiJDmr5t4w5tjAYmbhDMp26JbU2bYV0IYzqelyL9UBwr
mitoIg3eVUc95TTUWF6SvZTGgCyT4bGX7PO45VfWvdAZZ/ELC0y7pA/pTHunxQNW1E9FNiGVJ1B5
j2PkxZ2GU414+uj0gEAmy7j0bt8GprouAd2zdWvwiKWm2zy3Zs9cLhHJb73HQ5eZZiTixYjWvMZS
RRvuYzuudiR8jHcPvVVJFS/HSh5BjEB0bMXNQbjDvgEtk2toyU0mbIKXVjuL2eHXMpDpwXc+uvpC
ayHVV2PmnOTaKw8wQdKd1s6gmUcl7GxxQPrZI2gt1JNtmEcSLdBR6XXQ20b86Q7aTpRBa0gLEYxS
vxpTE0BHgf3k5YNfs0K6rmPXXwkPzw/5ov1GYrTZ1iclHI3p00vFuGudJD0RHPQVExgQAHzIwH4S
6rAv5oIwoVaG5fSq0kKea4Ycx9ouvwH4MH9u5k/0T0zUm7oLWiTBAASszxTl1gXgf7erzImdXJI8
/fvB989fK7d+PP7j92Y+4u0djk3WkUjiXUqceKGESRVkbbMS2EK5h9IrpGlY3rO1/uQa2Muylm+W
ZZ08qrLzXABvX6GDqHH90uhoQUAG3ElsfeQIW29o4vUdBkbj6gH5idwVkhUyKVRlc3Yai6S8K4wg
9tzNB1BM25iBfKhVpFagmEmCstOqqSJ0Mm5CgDqwHMyGmVKCNQMJpMbwFZ3k6nYykn3y6o0qkSBe
przo1tiBIZm6aMbd8HAkD6ZWxyj/Lb0+WH2OpW1b1etrG845BwSSPpy+0KJow9pdW0PJS2FCXmSh
2Bc5MLnL12zcwcQdL/aKE2iSqQek4CQw7UE4Gu5FYfxMi25fCwIZdkz3qkCB86Wy5GKAD4anHvPP
su1gcdN328ZaPnSApUEJ6imk+rkv74awj3jOnG+gLYCOGv0AYnU42tJKn8vqWliqvOfSDeMli48F
uE1SlMrkUvUOY1hrc3MohcMZwnTAizfB3SxIq14sedYqqgcdsSYr5vU2rMp6IhHjBWBkE9maR+6U
Xajw4BugmmbfHzRYqEgTjYgorn2NSfWYTDttO4G1VHvV4VhGOqt4pmFi2OuF+I89z8OtEvtYaI7Y
kyn3m5OTR17dNqeSkepkcBl3DKF05TgxtkWrn+kXBEUTlrTXlaaabwOyzKYs6xs+Rs+xUeg4nXoh
FhWamG0dNZxnj38/0NZ92nkec+QJGXTYSpgk819TINAH2CPM0bP1VFmpuKdzf0cetJzp2RlReX/0
tUEKYWxMDnUpzxBXDl0Nz30hLVfCVwG0MRyLyf1TjoNyYub6Njh4SmnQ7qZROrvVBOODGbaI0sz7
muNB/y7G32JDB4xx8T7gfkPNz+ujw+H5kMhrhGksX1qBdVEFngcjiWWwSV3bT8UlJxZlsTwsmSy6
rYqhO4HsaSjsUt4KtzVPmytp7bLipiRGHaYl7a9aDOkFTcI+N/mqFTD+u6wzo8alInKs9LpQNftK
1x1iVWNWNz6s0aBqcXm6nc9Shxi5JONVSPVHjCta0YrYpqI6DmZR+hUlI/4zhwXzWdrpvepRXbhM
9ojogsmWiyFSgK/uTEfZrIVDhBOt9GX+dxBapFdLHlAz9WHDGVijZjdoqpu+zkL27t9m61Q+kK+/
zTJFyvwq5uQRz2iYyIbbVdPC3QQl6jFC+LvjrRdXacUICTe2M3/hHdkbTEAt0dwz9WAp9ldH1DiW
RH37XEU0us3XvykNQq/pKvL2gcpgOcwzIrCOM8kTSXqZmndF7ZGpeu5G0Ro+Y2pKEN1QN7yyCoHP
YnETOBLy7LLY0n2yY+XTLRkpr1jNsT8THcceCTSg3eOGyZeR1LkuuzLqfjUgAJ1YyVH6FhYzb5h/
N7NhPFhbQSwGtluwJusVHz0iTmaibOu7uFODEp/Yvk7M6prUPfImvTy2JQbvoevkI505e1CXLXS+
xXXObKKcilwcNUm6C6O9wXfIhj82LSupNleTELLitXfb2LcVVK+o0B5Nk3GkOcNLU06kMLTxByBa
9JIJ0Gm8eZsxNJwUFvV6hf8l7t+cPP0BnolqU5inMqPVRUiwdR+phbzFvuRtroV5WoJccoxnBgPE
mXvNNwmUfydj/hi7o6LBqZX4RFJjeUkMxDt0a38stLuOZMLCJLMJwL5TNnvTde7XY1FMZ6hdh+Q+
KKbB1o+XeXYXpCHrC6lZBLdFXsp2GHUGN0FCGQZ67jNp+BUbSEWMUiAfxkLuapNEOovPZkGXDRRw
bimoFXxUXvYC7r8ZLDcYJs8KC1jWjH9xAJYzk8qu75/mbD+N8jn1ut/FaP9XZvN74qBDECl6+kEN
GgABhMHvHLe8g3hkOuDqIFmhMo6pdiPilvNIW396kURZU/yNM/IJET+8q+jcaoX8rX66eKqjcfqk
z1O85iFhr3M0x3ge3JQXpja8XUzspjO0mFEoLE1sU9H2GagTvxaMYtTEttMgC6ol7/z2a4i/EF7H
wGUn0s3TfE6qPCoUZJ5eEd/mNbXDYaBOmuuMYLBFcXCZ7NSEf91BeR/U5ZwznRrqI5TCMNPb0ElH
xTdKlnW1dH7mfIOoww9U1gK0XprbYd/Z58rMfnnmXDHBZivkQlw6kYJ0HDODUbbZqoHh0JR2TlIe
c3222KG3H530G7VvQVET4SNjINxSWz9qZhGxuvV0EN0JtTr2rqnvHdX5buRLpp+lh13KWMREA5Aj
TMwVyi/Kp9LNKbub8dprf80Kjy1qI3VD57Q7zpB7mSc/ttnHfiHIeapJKkxcbKA22et4MhjEe6ju
ZrG8qElm8bgZL0NXIVDmFtTrUYVwRkgJsY0clV59r91XggbfrJSnTN/egtFOf2YtRnWmIyRmVCJ5
f5gyMo0aGDJwPgIk+zGX9BUZLfYXid12lBWy2PbORu53afGX7VvyfhdeKeZOPhygFxTB5TFuczrG
qvjCa/XsQn4/5P0n0w8DTknJGqLPJfq4DNCqqoESz9R9Iaq7LrUXkSvqwUik8A2sFMhxtXcAGTig
VxoqslEeCkPdAHsu5l5Xy3Z6wgTGtZS7UOdbw4ohIDCgDheF8bLOUtujE/H5bqHYcqFKVT0MWuUv
yceC39f34m1+M0m2V8KJwJw6OxaA0QhrmnMRNR+rlQuDwbDxLKI/0oVWjIvDZ7zFgmpHVOYvN8v+
yLbiJavakztT8/JO3mNl+KPE1SuRXrFfyy6ATNffB/tvjPUjJHOuDF10jsJaW78i0sgrY/580TG0
ijnJgDETv2Vd15h1JQzHSOsrNXDap0T2zas529cVKuDqlc5X5h0nJwY/aauXtmX4jDrAi+ZOXJXS
ds4a0zESQYhUKk9TWWcUbdgCyzy7Q3TErmZYgQrR1V+0oglpjDCnNPvY4PGwVFM9oJTzVYf9LW6I
nngqFPOZQLxPUeSg2tI8xS9HK2q7OgktZ0CQCHmiynH7YrsHrRGbayCT9IdJGkucvyN5vCWCpf0w
ukhCGvu5wl3gOwxEdhDO9j1KlNBUeTqargyXhL0X70m1x76zayl7d+wckMCQTJiPNgFcc4M0XU8/
kO8KINT0+WpiP80kL038KX4Oe53hRLqDXMAvnWYoVhvmBFXHbizlDR89RGFxP5yThm3J0rvqQbP5
pKmtaX+G/pIZsCAX5ySxjATGyj3LyBBIn2odMCcCNtdLnbxQaNugnmviH/B04ETdS7cfqBuUt7Hl
rGftmEeWSyYCF2F7sqvnlD3RPu0y9F1q9ovd9yYSwdpTLZkEL+f1ocxTE5Gj/Qx97oC8hzG+w81n
eCjDmgwbuvgRZLEwKksesxR/+CjUgLQoTiQiPoBaNrgXIR76jY3yY3tpunL8rdVAO1efHFgIBtmy
yfbBJrM4fGoTrsi11Tj24KVIKMvRSg4Nom4DKgRT10HrQuGdzVHYTyoPL4Jtb5fXI5Jzm5C3SrZd
4ALlZ/cdirL9Gsh3eFCu7pfasqiELXRX+Iobu0HVjTU9cus+cjzlFV8IG2qZwqTUPxVG49FEUQq/
SAYubq9lqgGaKy+zzY54zHhhlriFEcs3pHnkXeSq+TZmw5dCTgRenYlHp/12RfwLjIxxNDTje7S8
hyynmOhcXvd/j/P2XLc5q3DT6qb9aG/1bbLs2G33Yd1FhARA+u353yeMaj5W33dK0E+Rpn86NftZ
JTc7AYtNkP1avfG6TTIppmysRWPO4n7lDrVGfgQ5GbC4FnukjMyaqK9hc5OIBunHx1OQ+LKdP6Tm
IukS8Uc8zyaTmcRCvai+0I+OO/iTAVLeJPRGvvxBKidmU59Kxf1rCjZ3npREGBHhvAf5++5Nw2cd
yw8pcFy0TfyfTr49cmO2DQmBEhQRFhPato14TLwAPUSziCXMsNo7a0x5Qar1Di4E9ACTqncEjpCQ
w+ZbKY/10KLhJ7+IVTneQzg/2O4Wd3rM2HNb7iFocwTSjSnPG/+KLGHGqK36+q8mYEsLNHFrXTuP
a4WemqKNtBEM3rx/zoAnF9WF5mqqnzC+SQreQ+jFz1Kj7PWQgA+VLSOG97UPqZLn1Qb06Ko21wKo
b/AFDLOMAutBOP0nOqlG/WhCVES/++9Whu/eAvCGjLEg5VirOMJwSpJwbbwqbn1FD0RpaZXYfk9Z
w1Ln3+2YlBMzbptinyG3FWp699W7gu+V46Gk0APEcVpkhpcKgU6alj/krnMNUipOKYeR1qtfEBEi
Dd2FNxqY/FiF/PswjDj+oSn9dy8rGYA+xQw8wDBh4uostinRahcCBtvCY66lkcg3GbIkREGx5Ieu
zFd11FzStYpgtCblmpucR2uPvXerdRWODwE9PVM4l7pM/bAll/wodHYPdOjNQdr4Y2I7IVBz68j1
aYgvQ6GRDMl/Q0oED4BC1wXTYtuy39cNlUUWOkOh7g29a3nDB39c2lPcjrmvaPx/xtb8ujg9aput
zlty0v+stTkyskWV6aBItOq92zZ8KTF1rNaMz/laPeY6+UF1DWylVI6jYKICE4hLh5U0tvgcV3VD
J6yatwETHJEW2mmrMLNl/Vg7lWVCV59nisjASph2pNWxdXF9pxBpg75O6v1oHUlNzdhAcMojN6Px
Fz2zTj4ec6vq8J4Lxko5d8iW86k6yj2vix9F43AiOpNpqMayWcE9hp0TF5DTOmgvOeP8fyVerm5p
Thx9BmLvwK7RiRg5S8AOvZ5RlSe3UnsKDp+PBF0dDgcYAUFV+4rZuhFZ0FYyjSSoyI+8wW+C2z6c
TN7UwXxyPQnMB7Eo/aoS9Crdw0BHQPJiD7JiiBCE/JgAzX3vl52sH4mgDCljDqol8Z6xu94F7JFx
JA0En6Avders0djK/pi9qk7kbOu8ZSCbCK31Bw+foqu8GHAUA8WidLEEn42Vu2cNm+QwU+PCfBI+
Om3GiMYzb8dtAOkS6piRuJmPS8MwH8Vd0AOOQG6F2J+icK/Wbh0oWcmCD5hqaxWER3CZczBm3sOC
tV3ZxbHM869EG08snT/qhlo+mcH41JbYJ0rq55Mc/p2OrsWDMHSPfK6kPzGBDzrjs1NcwUZrNy0T
09OOglxxsx8lwfLs8BYQ9oP9hLpX52Bg0nEuYSGx9KIg6JNweyUs6kYyd+SvPkNXbrqRKIcLXjae
E2/kSx743CadyzRN501OyEyimw6lsP/0OZX1Og8PFRQuTxUPbdGkP/9u2FbhU2DzDlXC2upqCX+9
mdY/TmP6kjMUUSHlIRY5MzVfvHKiTm/4eNER0u5VHIpwt34Y1IAQwArfECa6q3rW1VONIGYxuc5c
ngZf1pw0U18ioHdChaWWz73L56dShKHb29vphKONWJL9v06zywEKeEqFtpughVY4aC0MixQRiuIh
/x9159EcuZJe0V+EiYRNYFveV5GsotsgSHY3vEfC/Xod9ExIGi0UoaU2jH7dj64KQH7m3nOjS1FB
/+3b7E/GnBXBZ4mKM/c50DycIC4AugU7jMwa30mpPfqWdakMyvNakn/Wsjmaam6xhH/uJqteE+d2
j+wck4J6B0Nx8hVb6L4df+deeqlLPtHuWB5mwXCIudroGzr0phRXoFqatZVlGy0ERIPYCnAcY+R1
ASnJAjk+h6iTENTnDOZx1I3d9BiiLj1H8pxk2ZfdCibmOatMlHnD3bMvEVENm54H4boPwi/pcTVG
OjizCgPVzk6SNRfRTz4pWrykoZ3HZ5aTwbTwevuo2vRlsrisuggeVNPGzj9b1oRWkjmMiz67Ty7V
MD0yyHKLqeJwLv0RVzHMCWIjakAlCXB4rGNm0uXIcLHVDYrUcaQfxhUrNqcmHTE361tmFwx3ezJk
Q8vudlrYiUtQhT3D2lfXNkiUZ8uFHZJ2WpSEZWb2P+sP6fK6o38MF+mf2jzy9EuQ3iL/jxeDzS9r
limFhLF3adxDp572Q4kLSJ8KFIlNqK1SUfOfQjZbIMQdxhj3FY3BwAEwvtj1vP8d5Waa4m5Tybvo
6W6huPMaNi0cow7eVGX+ATSZQKLg2RQZ3wD6uLmw8TE920cR4GGjVHcMKN6zT4FlcfP8PaQYHPCW
qjFn6CpZFDOWspAB1ODRZP/TuFLshkJQ6wv5G6HXmdtZbYCNLBJTMQqLNHIW+nqFvI8qwqJlipqA
NU1RF1sswY8y0nSeI8YcZsNmOpLusI/qhmuuLNF96pb+kljsJBCI3vCIFfSgFUtXzqWaXJatpmXq
qMxxLxqvvgY6TzJUWtuhriP4uSNPe4NDX0rLWjN285Yi1qHN9RzzaUtdrnG9b1riULbk6LESjzFW
DoOEv0Zg55p1b3Ix6Aj9Qmz/Aif/Rb/8N6LjfxI1/yd18/8RUtOwSO/435Ca1zpqmn+jaf7rU/5F
05T/sBwhcNw4Dqsm2wGo+0+apqv/w6I1NaUlbXoqWoD/TtO0+UuQmVJY+vxZ/0XTlP9wdUNH5eLp
HrRiILT/B5qm4fyF1v4bTZO9v+5i0zAJDhKO/j+AvyjpKpIS2mkD0Bx/Queg2SindtFkxkMr5BsS
m1PAQq3mzrSQq6KsbvcS0xXIs98TBmi8DfXCEj6W3Sjf9HOOdBaF5TYvKTxptfdtYqyapj+n76Jr
F7aydcbjZMO1MGiakKPM0hghV9h4gjqS29zrd0GBG6tJg5OmwLuQ2/esK7bjbCOdZezHx7bIz00V
PJoMwiBTzhcTzeLCKZ1DhFibMM/5ATZ9wGD8gL/Mk2HQklMOL2MJ0MO/qSD+GWdFWcF0lU/RfuvW
H79k7D28CFvJTRQo0h8y5rB9vB+Z/m4b7uddb1q3bNLT61TvbL0zXkhUWFHVL2PZN/tAl2phIqxF
sFoZ6zhurgQB+lu3eoXa6a+GTUTazpPvet9IhyoXM1hdZJvCBgPQkHSFTpeFuoWaLoh5oWOSZQSW
pnVWsaFT8fuMFPXJs8dAwfkoiYKmSiLssKvFK9rUh4nzmYjjN6D6d7vuf5F+cM4hUuRsertGUVex
5l0oG84MT99gw1TGAyjv9GhGmnXNmsBVRv8TB9FVCKvb1Fhtdh6WLpCZ3XCpBMttaxr27Jmy/ZgQ
MEQU9yIBNPAcq+Y3ZMz4ECGGX5mkSt7KBFibF5JEFTU6cQNZ9cyeojq3rjiYbB7PuEFBj5Z0Tebk
vOnQrPQUBV89q8lALxbrTFLHt1Z+8Ek337u+RGWVoENshP5ZeHl8pzlcttAON6muxA3trODqRI4d
DAO0EUg2dReMq3Y2J0bWFGyMMbh30gmfptLeM6GZUCxZ0SGwrFUaMzKuTdwfVYnrPshxKExDUZyg
hvs7Gba43cxsTaC8djU97LZT1UKVIEHuCca0T3hFIqeAnlVfh21XsSYtkNkJLFND9+1jnF67yjqZ
Q2dv+tC56VgzFS39ygdduewRITHX1VFWZybsAOedkuZYmwFGU+sbMdMal89LWDOMB7y7DCzjqjwU
CGX/wplrM+6WKRkTLyMRJtumwjBCwiZ2GM2DD2CjPModKdeIFhBWQunaBDYNKukau6kzC7oOjBij
Y386NEcbGq0GMorL2MVQ5G5p3idBa58i46tqFenKZCHsFHoMHFXpXkcI5xfaDTATjW1dbLTaPdiC
tKpSfpN7tG1G87MKzE8lWfLSBaFeXTpSXRKTK4Cwuznc9rdtRh95Kw9eLqmoBC+GKv0njh+gnLwz
cfwo4199Fv9yG5ncCB6Zlq5HmLnW1FcxinhvQGnahVa79Eg3Qc5j50c06tWmLp6JiaPqmzBOmRVK
L/rXHtebH/wE/gtTllcwRwy5p+mky4yDXrQn3ENItHKnXAuCEVEbRMVzXddkkN79AuPvJAmCrHQX
IRUD/1XrmPkxDaxnS3HYR8qo2a2w2+vR4p16u2dGUzQbFprxysDJuougpAaVsm6AUqJVLDoAKAOB
VcRmeqe/f4JLB0NR13rmrw0u0MHbquyYGFH2O6gVKRjIyfOaGOVg60thbLke3obk3hEF/wch5KKy
kktUwAtybPTHRg/YzkFJcULRS45bOgN43Fmz5Hjffpo0l6nLvoYZzyk0D3VAN6fKAZSnJmMbIOAi
HiZn+nCK0TyrCMxwPg573W+p9KWJ8MPvnXWfyeSQ8ROb2OI+W8J84pw5u9602gUl6UDOjhMtHRpD
nqolCbh2fcNUbLDlYWAYTATt0h+wtPHfyXAuDgpsTmmw9eyiThxVShJzY6fHchQfZauSR4Nc3HkK
gkr/9vsBQppTDTe0GOWxb1nNG7o77MRYfnOAzhQrJuFI+vw1B+1309jTteHQW6Oum5VXPK+Hmt8m
IvttrVgPHz1Nvxnl0J3Q2N1h7LOxoxQ80mdyYRaCMZwm0LkGcFviI/JQloEyx2snQEnSo7GELZgl
kEDFD+NeTE/rSCnCaRTXwS9JE70wRqNbV45BbrBr+dsoK98S1/xpzNjetW62s2rxK8ObtM2hcS6k
mUOxEZ2P4Qw1v4ky3Wzy907xQoERQ6pjq4NGZBRc1cD2D7IjXH7KFc87cw1TobpkhwjBKOLFAQXm
5GyqwnOZyvTOa4Onq8ZvNcSswOFRvTRQsc5a33GkZ/GOzrtCk8i7KLpq1zVmdEW+x7o1S8lYCTGP
isgvN0z+s0XT8bhxWxevRs5l8vcDu9RsMQwI4srBA19X2l8OdvlF7VDZ+oBh91k9O8paQpPiHmVJ
wGpcMB6494g46t7DXp+Z1B2tv3ZClFVeHXUPDCXmpkdxtf77n0Bmhm0rW7ZtxOOu+GIWRGD5powE
iEDlD9TuIes0U19npGfWiOgCGxQrIkUkI4TUr2H8+CvDMz6yhFKA0dlJTibbvunLsXaV+O6A49EW
NeWq8kIDmqqYgK0ROy0Ym1QOMlc7Tb5LsKcr0ws4KW1WcW7izfuLp0T4T8lGTNF77PA60JPScORs
G7SnEG4xUw9U8lZL09dcgaWFoKTkbSLHLTUJymqncVjx9NCYUcFDbYFlLVkLK3ZeZ14n5qAMz1dF
GL5GWXDs6SviLav2XdP613TqwDJXyls3cCLhWeem2LGPONpIzZGshb+IeyKKCtawo/HPVVkjnsYJ
o7/XaQPsx39MTBQwTY1re/D7gxf0eDCVSalnVjm6vCk+VQHZUzyJLyn5ULlmMBy0hWbtVOjBYNGA
liX6TRcF+tf5ZgwMi+s3GPZG7rpPhpa4T+OcDefkAe5Ct+QZewH0Zn7VPqpRnAvBQuhguxCV6EtG
HhFUxYnAQj9RO5vyArkZ4nXH61cKWe+WOf48cQ3SS+WhnlLTn2RMkz2oG9xPrHzXBWouwDFc9n+R
4zLrXp1uTjqj4rJ618UGU55ApD5NFqlBfCvvvTNfvHZGRIjaXhqzuqPAar1mmjcco7hrbh6IvAVI
03BFoFnDVAxqG1L3bYzgLHWxIBc92LcKCc1iMhlRWXRlx6gBMBoK7Sefc4Oa1joWoQvOubZ+Ioyd
FWHay8j1SQevzCdDxdqBoMZiTfeOHMCbxExsGrHYDvlB95ybyd/xLmZ74bQU4HEuniR4MFI6pb5E
USs/g2x67DYh5dW3odqPxqHIlyjw11hfu9Ievz7hOZ9bQy8/Gh8msRHX2l1jfrBmMAVLJHhCHRes
UornN+EN0QL9rXbWa5SVJEcvMN76vwnd/LJxUb/aKDDI9a3RdI8h5bw/fIRE/uot8HOpbFJ/R3Vu
RYNoPIHiPGixdmIX+Kyb8psnJA5VM7mGDVu0RoFFnoR84lo1FvDzyl8mljHXL4vvgJD0ZQyBunAa
jpy6Nwm2NrNllscaweAKwGTnPhSe5F3ReOGWJ67YVTlawN57Mdq2f4XVNdHoso5EQmm/WbANtg0b
IaR44oZ/tH24Msw3AQqcde0WM6KgocmuTFw2ueND/G3NOzHhsx+uZsIRhead3/2SNYE85l14Eng8
HtOYm5AQw5PeOcZD8BS/4UHehe0B3lp/qlX86eIreIozn52qVsKCBuHPigJqxMrp3BLwA/+Mzmw6
2kV/1ySer8Yq/JXrjC687hyyUq5FR6K0rnGTvbIA1cG/6cnVhonIKqmGjeyq6mIVXrtzm+JbjElF
xikfmIVOfelf2U3RVA01EKGpuLXzh7+gz8BFW2nB3XDq9DDpg/nsFSbymfZUDdm11iwJnWPEZBnr
T+SXchSl5BSYvk5MdzMPrj0334eu3u6ytMKHRqe3QSXv76ZsKeCQMrIw5Ko0EJkiOljShXLkWZpa
xrC/7nJMjc04+N4KpFVxJb8ZmCpFzlC03S/m9GQLEiyR5NR6bOhra3DOsnT1W5vHy9IQr7XvjD9E
CJA0c/lLpi9kcyjI3666tnhzWpSZfuN8AmYh1mV+r8Ku/7YBGlw40TydYLkyF/vIOnQah7cPZqpT
hbWGHtVuGweNTBpIROm43k1H0spC0W0q2iKcK/nDbZNHbUHEyVItXsd1kn4Z3Vcc4uZDODuto7Cz
Dl4ZXlXrwJkpIPIFe01FE3ObWG49j+DxZFYwqAL/gwE7KFMeomxTPYMYkAdiq56GJK/WitYB/zi6
Os9cjZjMV5GPttxJera0TqIfmOxP3r4vh+GUOSB72vCZQwVzGQZFxtdutzAieYp6aErD5MpdNpIx
nktjB38xvWIwjU418+KlU76SFpZ9hIJVPm/Bcx1ORJ8asH8FaOrP3OjfYJxh2mNYe3JAwzLx9sSn
CspHFvnZC4sA7yggUaz+/v9u5AFKrIpfc6tU5ixY7cB4N8eMRzksB8e7EYRIb8qoVTNz92xSpgx1
HO90c2A7WUAYq0DOTroVrvrm1Zc95QZz5MzAyJyTKrfhOl5YgXLukR5sYXyT4NEOzi7NgpiSAnBZ
XVm8XLLJWfab03Oq3PQSexUcmC0q5rngRFBZUuRa0o3XJH2P74ij1ALJZXUBKGVC8UDYd45gOF0a
Y1KXiPHHxvQtRnlt117aukwXTqFspBqScEpvGu5lFFlPTCAdnFpxpfS3pmjxt0fkFUiPhoNT+Cnt
I7BsQ9w/KQ0hQMdCeJkhoTlWjp8d2zyygCKF3BPTgBUXzv/ajLvZmEJqR+XXGNeYwz6MbHw1YDa8
MBO8gJyZ2DhMal0p7C7AJk1mKEz/i1Kn4bcVMLiWoFZV4f4vMsqzhAlzSTj1Kp1EuoE+hStUg+GD
7Ug71+GonU2HVsHtpbUyA438bwgoV8ZdOWPibtiU1ZgtVYdM01a8IDrVb2QG3gtp4+/c43WYvIOh
FM96Q5xjlPmrzKb35MkbbgevCM64z4xtNgwfXSA+ZGhnjJLdu7J074S87MEJEW2JR0aFx+XfOJna
MqBKzlnoPtU1Bk6scUefUczeN7tbhuW7AxOIy8qKWKyg+bMO0EdhPkC0evFGmb+kVnm01SX3p+pP
hCYlQ3Pl6WlK/TeWC35lVjVxjxJX6sOCHdPvxM53cQUnS7cVicPp3dAMBsjTx9inyQb65Mc19Y0v
pklb3WIVR1YDs2u8C50ckKzRzAKb/cAXBAUjQ4PJj/+nhqazjNA5t8FX72Ttpaih/6DSBspFE3qY
QkQ0fhW+Euy+KLNsOxHUsAJd5W4a9USStbkVsYW7yrdWTXTxgdscPLv4VetTu0FosWRc154duPFr
DXP4MdbhdvttWGGBVdl9tJJP3Z6MNT7RfCd4Pp/6bWLX3jVJu/Dms2uYkrY4QJ4qjyK49lmRvoyx
6VCccSaAPc95ulc3i4xLonWa4S0xcxgkWHuTEp+A7UbpSc4femWTmjH/iVXWjkTqGkSMSfgiFsVb
JdFaMl46lu44y93o0SrDOQ59CJohRKwEhaZbqlJUnJdFum3RZ9lxH1/cQLcRQPkhRiOkmkkF9LJN
nurWa18MRFPHGrYSq06UzgaYN8vsA95KaGwoMkQYbwl0HKj9Mu0QulX8An773SZi59Q03inPbOde
dgxRlP1AEn7FGTAdUpIyD6MwV1iLUiCG6sGYYNqkASJCnszcZQBcMMONwaYiKXefpdhnY4BBb1k2
QTnTTP8ph9W8YWeKaKvI5p0YfrCutpzrKIG3lVV48Pzeolx2rScIQXtTDMb5719FMkXKJfg63S5C
3XkxQY1e4yo/yELUx9Y10yUJtmzm1XQOtdh8GcuTExvnHkLRN56rz1k1s7OCZNjYab1lgOe9F409
rNHe8VPDJTLGMlxbqcflHeFRKHsGXbA+Y/JL4QgnP0H3bqX+fT45V7LODrKCNeOXSJ7C8ACFCeu0
9wuUIfG9iAjOvjaHhIYf6HyKpWpblhQeLjSmmUxhZ+0LQz0Z/sLERXcIUZhhsJadDfhyjdAQ+zA1
tDAiGQw9FqquSErzi/fp1cxKZs0lxptCZ0KWtE66KqJqTlxtvoqoO2XSKpdzgtVCB1q6cJNmqZnm
PkhBrqRdlgFoMf44evyczMgep81TpkB0I9J7wSdRftYJImA9Z12WN9OTnwUSFEuRrDr9c2id4dg0
4izD4LPI7fxSzpKAsLWYfLHO3pS49Fcsa/NDLtsve9T7B1AtWGqsk5ZpnG/M0TmzWisJ44IvxBDh
D5C7WRnKiMgy28sUjNyAffVWh7ZDPNIZdRCJieIIYz06RPQxM5A9Aymej1cgGsOxJxqzpbebJyLm
h9nLPdrdlZZrt8Gs0pPrvtt627/IAtFHkiTBwwDrgnmiGjZjNNZXP37N0LNG2XczhCdojA3lM076
aDJ2MXcmceLRwbIInrYM7SmQKNeBmn02kctNVHo8yLG74fKvV3zJuUaZblaW/vgB8P8oyEhwT/4A
IZUgiWQ8V0gZbg4Ld+dY447w0TIh0TV3A6u8tDRXdWd8NvgKsd1wsLek/wQT++S8OUhbArzxjQ3b
Ne8QEWWKpmAId52TWCjguIDCzm0uzGPEQiPi5wgKYc1fxeeh1d5to4/B4jrR1tedD9g6PpPXTrt1
VXzUy3E6dAMJsPbYaFcHZ87CaxSPZFwfK4y17Ccof1Z2x5UPtxr1Uwhlm1Rni2dw1T87ge5TCaEH
q2uTl20I1CrR/7rhrYwNQbzoTfocUSTxjUCzr6h03mQGu2PUAW4ApUwfaAsf7CGDHx1DZKj5P8z9
ewxEnfdoY/2lNYFR9yP2KjNFLI34D72ge0WnsC7J3UYUeDtNS4uY8TfTjIZr74Vfadc+WmWDsWlS
NJy1np+SiO2kr1HZNKQPoNveOAp+jUazvCra9qONXVjmpRfDHctC+GbxR8xU4HlqjQnUcU5RgTBz
STZNtx8Bg7+4WjvsKxYnqIRdojBlm22Fbh2bWhY3HGfpo6z0VaV3OlBEiWEsay6RAz4Jr1RxaCQG
cs2bJXQi87CbBccy9bKdlM4jt/EwEtIbbyKRk9frGdlBzL0Vy5l5w+3gZG1MxGh5dwNaoiCMBgkr
ERmcicxhGM84bJsl1XpMe8o5p4e40e1jO6MVH4rooJcvOcSRg5sFS3SWxjHn6i1FJ85/P8wWYbCH
Tx4Q3kMifQBY/r73d31phOeUMnKbt97L2HBExja/yj8/BAa/VNU7yxl7sywSwzirHrCW+UPPE160
FGmvjRyJ8DW7PKXkVLUxD7aBbsEWnM8xB/eJIvCN30rQU/OjgfI4lPV4Z5VGh+LKZd2NtGaYOwm7
Gs6S3C24AI29M+YSDp8UyD2uZzAvjcNsH2nclCA1SHXIDWGJUspQTD1KqdMU1ExdR0NwfxEz95Kh
nFh0MzeqtCDAOtK8pWzJtlNN+0JSW8iTad0l4Zsas/A2DEN4UxXvWmHrhzpuZzuluMNSi5+AIawY
O09LeHdwZecCIG5srDqe8TUOXoIfg5+GxCOLNcZEFgdOxW1Av3XWum5LYbl1o8z+qAYfQwN0gSg6
Z3g092EiKKXymsqdjIgVt1NAHVr3S/3PANEVwQu9I+iW6Ej6l75W9GSrLmQq4OGFW0xRqfYIeuJb
WjPIEpX8MmToLJI5sSBhiLT2QfNtO7gNM1Q5fcNNwgR80K2bXmqfyshjxLSSK6qS8sXvC9pN272F
gX8O9aCn4gjaqwiAdRdGwUIn1cdTkHSLzh3jZdxm/bmLg4LvpAhLU4fW6utL3QN/CKJ4OJcFVFkk
FD6jVrZLnNqXoHEYvJA3tm7iDz9JwxdXdIDjrHgvTA2+UtWZ6P1YVeVBEfJ4Kg/cgPVRcx043YKc
gGh2lDI0OaTaMOL+G3aTrqGGQPN19/JeIvCPndd2nv+LUvsuQrRJgsJ1U9eGs/YboMaJ1sQHYZJo
XFBG75UacVeK5AiK0YbUor0xD0m3jGk+9Cgb7jGKRfCQJVsJkSDay5p031sONt+RNchktCclMwoK
ki2cJfAwpDW4sgvFA0VGEeq2sU2XhsUp5OZzPkivLllN8Fbs5R1cE7dE8AUpLU5xbPXd1sM9DJaz
vdjxMGHa3lpG2J7cSZ25PcNNEjg4r5whfsdOAdlI7jQ/w7odWu9Diukl1Yt1l2sQkLpX5oAQJanK
gkG8VpX3mRMp1CHMrOdWSdfBLjsVsFtM3XqgXksn/rYc80hYcw6znpwl5v9nPXR6tIhWvmsVMho9
Azltgg5amd3Y8wb09gk4xN6TrB7AMXbM+eJrabjFVXrOvYp8dSloNQvQ2G+h4HT1kG0sShMKdGMM
346ul8/W/MHBNQaMwjhAw9YxAA3O0Wz+BFY0bwaL/lZBjlhSQl79vOvm4UPF3iJIt50VBwctMcBt
F9ea1+BcKegkjeUZS78/wmPrjy5otw3WP1LZZv9YnHATI/TvSBND4lNNYXV1W8M6MMVCI+URxInK
J9l4yC9BGYr6Hg9eu61cV51w0mZWAhZm6hyaVfB4PDcYPNIK7ewqgqIQRE+RFsfPVWNRazZj/paj
3E2tzPwguWVawEdZOY76dB3mpD55vNIotkjr2C1gQiH+b2ua/QvLqbvIONzG7O4Gzsklrghu8Xtt
mToyt+y58A0i5/oZNmfwNVn29lX8XnH9oBmHj+LBr/D97NyEUPGaquKBo85MIXAahfoDGEa4CLBE
GZN70cFUMQ0HvBaGK+SX4558TsrPGkosii9WxR2J8E1H60vG6qIlJ2Dr21FwupG2A245Dd+zvmHo
zkxM4lFBM8vsgzsIl0tFTaQMYiVDWaK7NX8SrTMOVVNjkmKBgOb51Ev1ioEfA2LR/qGOOVVER7Xg
uKidyk3L0sDPJhDYWY5IXvq/Sk+sNKf4Ul6WXjIeMlaaVgu/h3yTmDVwMtdrjmVDyeLWqwGq+KsZ
mGdfDNs+zR8iHy9wkG8ePPGFJjFsmB0rJ7N9MUvzlRyxcOEYUAWNlBIijMePFGOKUaToDg3/o+xI
jYwb+UApNSNjzFMQmDA1/PyYlTOKL3w3EptRzqrjmmT8wsOlHnGF6TaGWZfJ+qo0y99Cw2IivQEl
mKZfjLR/9pG/hmGFrBesEv/8KLJBP2gVy5okcYfXcAYH1sQCPIM8qpbZQPuXm9JZ0zNUTxhLV2hy
aUeK4dfI2UeQTdecwXOyhRvjk9bW4p2ghO+4po72OxTcQHBwZ83zn7Bym63TWTliwXFaRsjh11Ut
1JWLozkhmzlbQdHdp0hcGOsepsG0b0HnvzhsQ8BVRsDaskrtql7T1kWXkBXYZv4685t0RROYrp1Y
z55sYaKR9T48VhS3EUP0wTIafAzto+5TFuiWhg1w5ERFjrCZdDTtntU2Bzig+fPgOM9l7/uXcgpD
HK7DC9Axc5lAl2agImhLpLjRnHEoqZF1ZsOKScfDVYetexvNutyPzBdJrTcoNoKYz0yKO3NMsc7L
39FUtusBop0CPqhPTE90851l1UfUDLtG1+A6fXk+86DBfk2C+Ezvi3sXFHWqniLBtlda3xUzjgFu
Jn4TJOJmZ6ztINjEqFgPrcuMMnQ6lsG83iZecdBBV9yU+SE2zZvLwvgSCcJYMkkEV+MFK9MFloUS
X23dUHwrCBxHvS6TpaMStBeiIt+i0BkvtslW2SyrmpiHUM23IW0BgE5nyWnlgB1ZN7A2NlkIAHyA
xRwa0K31OHj3KW+YyHTJMbHVgrKpfhcBUGfk8QDMvHrY6WvGjQyOI3UIA4jXrsJs0YzM3hxPu2og
i+oSjY8+spHXmQQugSmkW9klX2nNuZ4ibIlKF4cVC9OkgJiPdiF4NrGn1q6TcIYwUe/aftsq9Byy
ZhYzBumZoRLpfNkLdVIpsu/JCMwNRqJbw7yki72YlqBkGNSqo0uTp0cTgoziWVqQYcfRODMXJE1D
ddquC6m/Y3I5tFz8dkeBr0YzbrryqqPbNe0mz6zdZAjzOPW92rFbBemOi/Bk6KS+urbubwqSbsM8
GTfkSuMmGARPw7pw2M9ptHnh74hwzXtoim/UPrDAiZLdJVUTbkhl1TeGnTavZNsRO9rZmM2riOME
FtjJBrps2HlKO5q7a6szur1lgcxvKh9mNkUZjY6/C+Yyt+8YupBcsdaYEd6n/N2CCWPMiCnbIYyW
0AibHwZ7GXgD4jSwOpHppkEUYmgYTKXctmTM7oZa9DdlDIsmsiDGEJgGY7DdeEy9Vvyk8LK04DdZ
k898E8YAPSIK0rPSZ2r1SxRfCsYSwJM/hnnonsbSfIWayMEKf80dquEXTpMl2OOjigfoaLnLsr0y
z7Fvornw3GI95NAt/kpuUXQ9OZUXgffHG+PR5BNrRa4cE+6GnIKN63EUsbvHt4grymfdI3T1GqPE
wJSmnu1sOmnQwNbCcR8aZMUFayQ8RAmXrcvt3I5qzxYXowBy7HVbq+8IPXqNDWIpjYr7aBDPvZ6+
NiHsGKf9g4gRRn0MJ6v6NScVTIGk2R9pRSJL7dO8RXxdDC7eF8wHDg/8YuS5EE/G7zCBZDDMnRnR
AaUM96qjYgA5GC4aEwUsBu+32pPGnv4FN/cs4lJzAoM+Nas8bgW+TeJG6DOTI/rZMzqO8milBFfo
MeOkzqsx9lAmrvLJNC+uOjjTG0Nmf2k0pVgUdvJT4odKzlXX/ZJG9ilq8dwW8Q/v8cHykaZ1Goyu
KLhxKOAE7QlnSGyA5CaAFpZ7KH0aYB++cdJEvxaCTi21ZpxGMlshw18U3UzAcxQhEE+ROTK2LA2D
ma73IYX98NELTtL5GcLx5E9wJ8AJlXNcLlR95OsICmV2KSQ8PanXPNRWclAveWPTiabBsyayfh+w
meQ6Zo0swV21PhAETY5HLIpY8GdljGqSI2esduk9+8dwa20LQkNzpbrC2kpHP9t0Xv+MoAXXm7F1
Yr/Yebg6F1NTB6dKK64iauShZAiw8xL16rNCH2bXW2/wNjC0P2fOfozjM6kSr0RFMuWCLQD/OMEN
C6tn0J1tmJPFizVBW46JeWWnesA/f8oLKjVKXs4l0W+KyD96tfZFEs3WKbCIJ4576uMTijMAXtKv
j84MuzfihkoG5eA9dWDV5O+R7xGZAKUjxsB69CxBed+rhUOa26fEnrGAgPcuJ0Iaua7exxDaykQ/
uxwatptKegcY7+j6DQF5na53m7uGCSk4ZyNdR8++4XyQaByfLN59OuDuSIV8KJx+F5lYcqagusuw
4q3G8UnYyLZ3aajmgVmz8zyqs4FNmjb4zcriXZpUu+MEW4cu31+zcPp2br4KXXoK2/VO/NgXIFp/
PJRvdu+S1YZUnZlwYmzKMfoRcuua2bm32PBEXrwWKc6LmqwoI39NZ61YW7AwDvEgDj6YkgmtK6WQ
LA51ao+7tnB85pzE8ORGFz4hxAWjNAZPQhodyd5gQAnMg0qY2N4GxWO2sq2SUkp1w1Iift/jvOOl
tOPv0kwT2tjO2FZBSkBW4FvPU/U12SjN9CLC9J/H34m6jygEiLnN7+g+uKD9L1Am4KNUBYLILT6j
kJUDVQqC5EMe2jeP1vl5zJJw1Wp5/WB8vx+L5h4njvo2Kpv8xpgMQtHpHAvQHCJCEG+9yXzCFulZ
d4LVf1B2XsuRLFeW/ZU2Pk9wwj202fAltUZCo+olDCUQWoeH+vpeXsYekqN6mka7xssrCpVIZLif
s/dacWVCTsXDrGzrY27K4MhTLt2GAwyyMOCO68fQwdgP0EWxUywkGbilAngzZH+2XYiFUMiSyeJR
4aeSusyXBadLtP3e0501P4VkQojhs6ScHwzud9FAxvCTksJiZfITSJksdy2omdIjA0mo1BYDEWDD
ZMXsM9tO0m0xGWTkGsAbgSlfq8WCZ0i/Za8gbsaWlKsgADBixv6+SAjeKRlvSpfePBwPyj/ywdyY
MXz3Lqkr7ImcnzwaLmZBHbEOngFmguqJ+FxifdmuCSHL7TSEv0p8d52Se84KX8bIYc9khIzAkK4o
j8s1nt7ZPPftYDPIhxDh18lnPBC7bizq6CWII1BnYASGMtA8CUYfyOOTqnwtUB1htgdQN+YHEZOQ
YGvbL5S/0n74XdUtgBnC2IKV8MDJKeDaeubNMq86/0AAlrK1bHd+22rw+yWacIeSydyMXCjBg2pW
/lST0m6sFRQeM+3iDd+5DG+ueC/4YKjm8Fv/ZeDZaitagPhyGDlX7mOCQJn7y65MoKclhFUbc9Z3
7WZPdanl0ef/WeC+zgG3VHAztjmyu6dLXVf5NmfBMdyMnhcyYp2dVx0Ajm4JeVKnb6Mzn9JWHSwc
pFzkSoeFDnAEK0GX2g+vZqIg3EzqM0qChfsPxf2q+0Zy0MJvviLWd2UTNqz/qWLw9w7Fv5WquAO5
6Lu//UVQQeALmXloHH/97S+e7QZuYAWO5wamCZzHDfjrPz+fkjLSf/d/Y9BL+7DuF/awXbedZSw3
+eRhto3JW7BkocQiNkMbsJk0jb2LqZIhQ/UeEuJye5pA/8mX4/1vX45nWmxNfMwQnhSW/nL/6cuR
iaiW0MumfWUzFUvJ7gAkaLfYd/ttxFh+azfZbxZfPCxE8t2G4VA3frU3Ove3VxrBJi9rvnXTq9uG
vCWl2PwnXx99if/l5fJ0tUH8aVsEPAv+9eurHYcxetFpGRyV1cwjBlTbIYI1D2LX2LY0j5j2rdw6
vfdsH7K57j5m74dMax410EB4oiM+G9uRyADvyD9f3X+pEXOlkF111Vf/P/Q/9j+LM3+qHf/4s5eq
4L//z7/l//ov+pd/L4Wcv395m8/+81/+ZFv2ST8/qt/t/PS7Q0H4H/US/Xf+//7Ff/v959/yMte/
//aXz1+F/mDu+jb52f/l739Jv43Jpfm8k/77P/8Kf//Lt8+Cf/L6+SueP//t3n7++t3F/4d/9O8d
G/lXSiy26wkToIHp+eI/Ojae/VdTWCZXXt+ntySdf1Rs3L/yVvWAV/KEFeLPW7arVB//7S9S/NX0
XEn7him241uB/1+p2DiOTZHnX999wnRdAebacT0KP7rN888/HYkwgmnJlm7nTnlzmjnYbvNyyjZs
ZOInLx4fqmCzaDYuhZO7sJ3x0cVmcOJnOsa4cwR1RGadYjLEkPkUEEzvjNK6eVm0h4Vuc2/A+M6J
Zt7YmtKbFPB6Iw5qxPhh+NL1Nc/tDNe3HcA45rYKVo6m/vLBwyaHJS6G32TcepyyqUF79zFLeWxV
uFB913hKaevI5C3PP5Y/fGFNGp48mMOUo6ttpznEviYSx5pNLOf8RQXTMQzLhFR156+XKbAPVtPV
3BKrfBV1ZngvSofBUozFSdT8WCWhL5/7LPZwDre72PCz785PM+h5HMe4Fa+JP5TfAsDKmKbca6JZ
yzbQ5c6Tb3SF6c75ByxVkMY+M1xbnM8ZJvnZoQsZR+WTFpwdIxeqswLvzHmdHGqYfS0dHNbI39iE
uUDyzG9ePV0bBqQbY2rURbniXht7X1Oko1m+GSlwG27zZuDs5ggNqJviQ6v6S1VwxMqqhSjyaMI/
5nexhKeoc+Y9TDasaUvAjnwc1ji4qOtExb5srk7Xgs3POA7QHlYU00v36LvVW9dIcwdrXJMYeZBr
fratSdp/EltK07VbMNux5m3nmrzdagb3nKh7nKhox9r57mpON+mNL7CReFo1wzvSNG8swDs+latd
lrQfLMk/Il06p22REAUso/JbrMngoWaEd5oWLia44Z4HQbxraZq7y6Gup/YHL8sDAWEbyEb0y5+5
YScE/IiMoJWLYJPnPREZK7eTW2FgfE96GOaWfhNKsOalCd+81KRz0CVXL4d9Tunj3RLQ0F2w6L7G
o2tOOl40wouana40RX0Ap+5rrnrhlRFJZ8vblQF94q58BiJpnWzNY1eA2VNNaC95/ailQm03Sf+A
QWbVKxW3mCTgQtDM20bT3hPNfc8G9VxpEjzHyW+NZsNHKQBuTYuPNTc+CRrI3MLyb+UcvZubwPSz
06xZ80JT58mSdvt4cA+TJtLPoOkJGAAn1rR6f/GeIs2vN2jQrlPNtI813b7VnHsWIOZaavZ9DQSf
utV60VR8Q2mZTXtqTUOeUrYUBxeEfqNZ+r2m6qejcw01Z19p4j4tOloHFrQDTeOPa2vtJ5l4YGp+
aMvp0zHd8OBMA23bykwuNi/pyrSZeso2Owqr3gsZLlgbqGxQ8yI0F/ElligCLO0KELo5MNqTR1MD
k0DbQvgICHCc/YojU5XAsnL5Ob9ZpAJzZ1h7qSh3TpyENz93TqbWPCb1NO4rerSYbrLyOJnmcKPz
aJ5Gr4JeMmBvG5gvgxNIThPbNV7i7jj0hToYBRI4MYm720WAa0oLV1zuwt2J+uw2W/jNYsEET7sX
ciQMbMt+NtEcHeNQD5G79l2OHMQRN/Bm0BYHM28OCPTkKWt+5HpNV6eXNAYw6yWhPKgWF4SrrRCu
9kNwC98Wsj7lSAxK97JwbuXHAhhAHjXADZyW+gstQhftBC/phQlPu45TQZIO9FyiHRUzsooKacNK
oK8g0c3Uo8Vo4WbDxaimx5C5U2XrADPyiwoJBtH0rdXzSiDHIDwEYs7Deay9GX7i/qC3f1wcsLzo
ANnYJjwJgoxP03RM5BOsyG2rXRyZtnKkI3EBtvPxFRTq2kbdYWmHx+gxGkUN8Sy036PXpg8P5Yff
j93VpKy4ibUPxNNmEBahq7qenYe2zfnYEhs7I6xvmo08//lff/6AVpmWHMP3rzkqiDNkBAIJCD50
EI6j1vKvrfaVOFKMb2HzlIAUopRSA0TJe/uAzeMqozh49pg5U9i3vdx5b4C3bIkzAmLUlhRWhuSy
9FNLLDhUmAVTSffHCO+3vW4bqEATmnkmao9W4CXHNIHwWJh60R1GI7S3sD9F3I/2eTlfRMKSKLcw
/nKXTdaTJUnZqPlmTdip0L8kCx4Y5uz8KkgEmM3tieuSyCxb2lBewxMXj8yshTI5ZplMO2aQQyEU
xzozRz7pFAAbkNW4q0XFc+0bFxH5xxlruoe6ptcOG+Kvp8GB6fHUIbhZhhd+hAyIXFDSMdGdLO3C
IeTA/DHIz4mQxmaZM+rgicenSPRGGQVmHU6dTtt1YjQ7UdR9GBWQRIoBrBOdd2POLpmobgO3YU60
/UMFns6SNDuwhrKGxOaTaq9POP9k8wJvyr2AOHnvs+zVjD67eVcI+7oQGWqJEYHjEDeFNMharJXZ
gszA8oUiDK/QoA1DGOl3LsqhAfUQwURWdmH94SjGGZWFvT0tUXX2NSGrKOXYbGmPkWs/GIP6nvHe
W43oUDn80G/jKMf6mCX+7DQfXdpvBIxHVYLzThEm1QRPQN8zeTDPw8gunoHdqoSLsAIwFuxk7Zz4
0KOe2zNKCk1atnRpMXzP8y7MLEBajMKhoDOL9ErnbTJM5LTMFDM0T3yi0/KkXQWxx7sDq2EaqK1Q
PMpz6OSYokwgk9sOedSiLVKd1klpr5SnDVO9dk1xRXmBSIZhXnuousH54TmYqRJbno1WvEYoqybt
roLI02/NAt1r+CJKvmW0IJkYJM7Zt6qbpQ1YTMXL7eAxlCl7GK9gwbT3Jd5D0oC41lJO8ysscU7D
27doGbASg+1ZtQHO2pGMMG+0RtgBU6Ka6bRYwdOArIvl8Atjz+/JyHK6kPqzH7WanGC9RAjofBU8
Tqi/7Pgl1IkOtkvsxBg8DELdRToeKV54dFHhb9kzqA5bByIGa9nXefce58kpGwuCvmOAn1nCTBih
vscTpZARNC4KgDLg/g3cg05melcMPwjMtmy+LMbAIPf9VpIzm/MrP6vDysCWAyPRvM41uxcXUdqg
jWmoj4nveYdSboycsUDtaVSbNix5DXozNGPI14wafrQHc2NAy0Z3kpQXorYaYduozW2UqKzVom1u
YBJXbL3WzPO/OZOEz6XNb6F2wNXI4CQIGtJfmzIPu51fvo0/PG2OC7RDDivuucmXH5YlP3y2kiOy
Oaz1v2h26y/SXxHye0v1C0JGajp14rNg6rknzrUutcMuDMUH8LJo76K3c9Dc0YSgw1uUb0lvv7BU
4Ov/VaDFy7UfT2hTniHUWVDqW4cZFr1o/pq1Va828esl2rRXa+deCK1/CNxp7WofH97eXaANfYAF
jdg84tB9d7TBb5nSp0jMh9aftiXegFUTsNEzkupetMXFs0Ei5iPxOyMlrzl1AtwiusAUbaCt/YFp
2z9M2iho2rgFS20ZxCrsIh3khPS4GHyva6LN/hnyEx0abSkM0BWiqyn4ljkc3rgkIDRkB/fhacOh
RHXYtuE3rwU0kHpYEA1R3kAE7Wo/phBiEpOGJ+A75MHIx/5E47uQI5Xf2SodHbMOqcwU58nmwMHm
2V6xaGO8ThG8jdvgYgw6P1AAhG2MyN+bwUfiyPBqjdMhnF3G1R1icCfcBcPicIQpEFKW2e+ps+Q+
rz7wYPvXnGYgLaNy2xdpsGGKBM/IF+ySecjyQze/zxav1DzGmKYUmE7hfGWmRSBZmiylQ/cpLZg+
Oh6145jS6GAPLRX0dV8vnP997QCBTyNa0CRFeVSlPx5IrtsYyq09PqCUXmMgdj0dIV7I/ljkIFCx
XcdgRkEmsWXIOCcKRVjeqyq8hWkD0nUYH2UfvXewfMqGX53Ow8+Og9O+ajjD9Wp4pE8w8CUqMrkF
JFTT+gGD+nmA+LayS9FuAjovunxhULDbpGXJ74LY4QiBuRPBB/kW3lmzw0jb6J+zYaCX0LG1accG
UzzHOL/xsT6HZBbjgmBeOBdYv/ztNDc/gkQxwRshPBhg7+2y4BGrycTSbTe0JHLvs2elu6Z2ymG7
86H9WHc62yiup/wVy6w8B7i8rKoEFrCuOa3tIhcipgrCAR5LbW89q33rWOCUi3mNowAMUvRiNXW4
i/2OeJX3q+ws7xW2Cbi82YarU4H39YqJwooRnJiQWs9XYN9XQLDjqz3xzIksA6AmVRlGRu96SYhd
jrVlFNU/mcydmqxw3tl0MEk3iNOFfJpEA5Quj28KTRN5LQlNu6H4ihdl7g0+lhGNUB/s4ZLi3XLh
NyqgrA5YbxrZu6CLftYL+LJgcPBD9M6wqRYnflKMpqj8nXWnfYMqojtZY7xVC083xWzykIySH9ZY
qFWSGyNwnKrZp1G+8Rndr1J+qNExo6dYHA6atAln4hvp+1wNNRvU6TjORJ+bNG9XdetQ6Gdsx090
ua95TXrbd9bpRJEnZekkfifFPjat5Ww0PNi60u6e2C0Hh856YBeHVIwseAFCZB16Vx7Z/nGIjGPs
xumWhw2F4+E38CHjIAK+N1YFdNL3eSyNVswkOlcJ0MxcbepS0ggGll9SFqGjJM6h0fCDHbeHhclJ
K+iStBWFYz8bFbZCY1+UxCDsGHFB144oblzu6gQeWf/9QAZHlbtVv6ljuZuloVnah+xMJiIjhoPi
Y6EQPI7puG8kNDFatiMfJX9+zPR7f9AGwABmDkzhZucW3bFRLrg94TiMydNqz8YyXUfT+NWqamSG
QlZsUdaO4s5XFPwJkfufHAgwUE0EYmH8M2nMspb24lUG5spuXnkLJHQFPGO/sGFSy52841vqh+9x
2C/PKZXbbRebv0lOfrmOYmkEXXDbpForEUWEFyMKcXXOcpQTMzP6JrNPqspvXV3b97I/TamXo9ll
ByQ890cWVOyn0+ra1bg7pknsOuG92gk+7laNT7bbFMTN+R2x7RnqixOlC/Ga5iIIwfgGoqowmokk
av+tKWV9xJjqbqmMvs2UWt7jgAjiLF9VZeXfopsKoWnNmfcGWASlEGq8U5/LrTnU83lJ7a+ypAMF
gFdcBjt/wx6X3cOcWnnFOhVUMuwPz/ySvh0T+yXah+DDPxVD9ujmjnGlljH5LSx4StudTwnXDDim
LhA5/ejU1IJs83JiswSVcxxCSpbNMwiVHTprwMcGC6Fy4XbQAso1LMyPU2Hhn7Q599mYbNDNGPke
Midsvp6fWgmY8XWCqZ9n1qYHIf2rUDDUQxh8Xuh/mSRzSfFyzkzp6bIUoyNeCladwsvrNWe/jHqO
qd4ISdVEYoZgQ3PnV+q16fNSm1fR69+MmuS+YwhBIEO9Nmzzbp4Lyi8xgyfaA9zl+1F8zFZ9YKKw
CwseX6yj1VqksXM1zZaoDLoSuv8/q1Gkh9hoCFsq62jY3DgSOtUgQWe1kZEdrruJ32LV6MBXau9c
OqkQoCdu0gaFk6nE9+3b0bk0mltgcMUt/CZ7LAfnLSeITT0zcPa8UpiYiulRETtZNal3mZzZPzPG
3MFfl4zzK76+pd7aykqvSWJevBm1GzCzx9kybnaCvCrP1TYPym1uvXXs9M/csqhvI3jYprVtXJpE
sP1P5hvGksi2okdj7jadVfGWSoHKIvPa2rb3Ui3S8HjGF/bZDCj40Dq/lCyJO8+WJKMNua24BvCq
A2wlr7SJZJPsZt9H6cCGNFFOc/MEsqCh7awDEStO/9i5D2UNgQezMMLHOmCTKs1011qkFHBwjR7S
70yk30ejfeeM9OpL0lpc40D45TzjTJSa2zhxsSHofykk6l/RiKk9a6aZnqtZnnwMCRB+O2dDZ3HZ
FwGHPpiNq8lRJU8shhRZfax655MD79oaXfc2YOEDVIgljhMHRczHzuO0ZRaf1cTxP/PnX+Pc2xz8
up+6ALHqA0O+j4z4wjkxbqQoDOhqL9x35pcZbqAXZsGRa1bHFG0JdpEcg62JLwqqRTPdnBq3SmZx
QjEgOsGYKJ6Cuftu1aeqqFlMg0+ex+WXSonlFOYxUvMmLIwXMqEfUf07XextxSkAqPWlmpp9UZXf
rMK+dW0AT2awHglV0ZY0XqTeipXJwSL6npgaVhn+KtJ4V2HHXkLrcZlcjqTpRRg/pUfH1N9zFr9N
Zn4h4L+fqOGuBpitFbgQmkH0LngwjQ1ASnJNYNixNpTyIDNIR1HM/8Oj9ysPpnNrFD9LznerobQf
oywAKVc1H7GR/ODC5etwyqSZ2P00M6u1vW5F4Jj58prV4Be9S3II4UrU9q2I6nWZEdKMQCFPvv9C
E/5T3Qi8AHnnJTKUfMwtprCmA6RW6K/DI9vHFIxkwdxlX+UEh5UJxrrhoRUSoYCK/8XHOUA7C2N8
5x7tMiGhvaQ/oqmml1ucizb9MVfeLWY4zkcGPSpH7eI0+d1R7wsbrsHkKCibjskP6L1c7i1u79kG
JUG3i2LFGzQ0k09HERVrlmyXZs217giLCDxzSfE62faDqebowakCBJo1l5YWquEgwAO7Nokx/Rra
Tc3QMQk3hunyW+JNBAez+wBAjhum+AxMZlwjL609wEdweLHgfJ6QFd/9iL+1LnjlS2Raaw5mtwGK
7qpkdge599C3vDDBAgoVhj4jyzY9jxNcFQ/k+hYjnMUQIa0elOlvBBCCJ66cxuMc1eWBUzHjjLzu
Hmj/oblKWMCXvJVXYVaLY1NxinOcNtzOfricaSryqTlge2UZuomRwhLk5A92vXzydvdO3Sygi7cO
yQZePH7cOT3bVnJKBgHVI7StM5Uymk8yr8h7kqhPbS88+MMMJbp2Sk5+WbOWlbesHSAhz+MctNsi
zkg9jNXVxaZ+yQo8Y6Sy+tWo/HCTwDN4HVSHzdYTNGay/Llpp/xs9CROptL7Cjky3MK8ulvKx5mV
Rr976hl7T6ZcIsjEb3NiZquWCPe6Dp7TuFr2FKiO8UBgwh6IABLgnI/t7L34pcUFigQn7HHGW41H
5P5PkYVfq2H0SoPcEDlJkFDWdD5gPlOQufcxdNY5SxVOeOOLJ/+N+UN2XFKvOdZVFnCiTdQOHnd0
opBRcE0CaJst9cyyY0F3mttrnlDWPq4SsQvKoj6XY833Oq7vqaQL0zKSH5q+v0xJ8r1epP0QlA7k
XdbTtT0EN7985qW4Tos5HlpHHOk20KicvxQdQ1LPCpbZGGnBXjzsXKpZeeUOF2HT0WPsllCFtSCL
j6m6uSOiZt+C4WsHgEP9sd8KN79aDcSENozDFYXVgvdfyh2+ifttwzWkoYx4ynMWApxnth49iW3h
zc9yjBmiE1Lcpqy9TkpGV9+cvUvjtnczZKngeCsCNBVRRRcEXO/QCC3kYzO76OBMsz4HhQeRDTSR
KZ1jVr+Qnyu3rTlTlXGApcQTWHhYAZ7vdbsuLS5R11krMRYoqeN10VjRhW0TPRbXZJiSGgxvJjBr
RfLByBx0WASfOI4/Hb/CN+eJI7VrqdHADOl83mGIX/gIMZW3XVr1rUgYlJMpB/Z7x6iUrXFmUDkl
GAIJKUgMziFp5Bza1n1wWiH4YIJEmb3EZYgVCif4Hs7LR1wi3ugKbj0DQ7TZQTS8GBsLxAhqsfAV
LBp0cKc+SLdPNjb/QWlGt54eNsjJzVijl5jGALlhyOaSbKiWLDhdfBMpxKhmHDlj2e+mTxLebjnD
dzhYzfI9SwThDx0mNR2WgOndFBE6B6HQp5hZztWHctfijNDoC8viXdOALgeVbOUmppvc/i6DhH89
epzGGYfHQi46FQW4xOrVqaWEQ96S8ISdIKTEMRp3TDo9v3fOJEIOTKTH9aTYxxEiyNZhMjmHGrXn
yuonvqDEsM86js7HyzekJeYLSJI3q2K1KMv6U9UfcWra5ywUnC368kTl4TWdUNuyuTwuhO53piJq
FDFoOlb1uMVOg72b4e7W7jeQZJGSd9/z4IdqCWbmM1u50aifffko8sexWiDV1tGhKEIDxUkxMSZg
bJ6FtXmpzfoHzyMkXKXNvbeoeGAT9ekq89UGyRJQ1KaHF+y6jk+4nJ0bBy1zYNQUsYxFtyjOiZvb
e99mzcYgpn9y9CcVctvgEY4i1zBEFxu5tMCOWmM6mcoi4QpafOGjcQ9IKsBV2t5BPdHgaBzsGcL6
1lUOKEW/DDbujAK31yJ1kmy7eJzSbcDFAUIFc5eBOcAlEVgxScMcujG8S06yhzl0NknvR0+VoRAv
cKi5L5QEsCzclGdXT1z/COeNyUPObe4SpFhbuDmeYEB+WkFZvmBPQr2bjEeTTxa3avOHHCJwj+Nj
l7YUlHO1ZCimbQT2FTgev0qiQy9TlDlOLhFUk2pOiLavSnAO62EJgQ3GNBrrviOxq0ZUTRGw/nge
JSNLdBkth9FT2PLCy2kAH9LDbG0DiCFdxW97l06p+u3iErP+EG6m0r33VZ+S16JQ6lLH3pdLo4+Q
rTjRVMpoj+gPIskJmgQ+OyolL/Y9E/4CksiLH/qKQRpKiVscFXe3YcmczC7L6a8kVTxbMcNhhKZm
5+ScDRd0qVlpDnCFVXftLY2EJn2/J/Pa41hKGR+m1fLAlinSATIgODVskW4p9qNSj4o90LX3qIu1
UvIOIogpogMoxfgzWkrSssVLI8kHKZdGNfEsmzlkt49Sfir8gWi7YJzmJikR3TDmXXzpBmHdCmag
GyVrzBWhBmCh/z20qXVpRUgl1+vj7VyN9aHjY38xjA9uwR2KGz7QYHD0PEEeAoP4r2lZa5VW3alR
fbHx+644Ojyi9cx5z8Nq+JR9dS7YQdKLDoJj0MbymKSQ2BdyJbRpueWVLITwwHMDw0Nkm1fbs/Ot
8r0X25mNFSSrlz6jCQOsdKMUwHu6KcCWZwIPII3cJv2FNRZUOMTglasQrXbJsS5Ev11gb5CmiKxV
NzZYllwwh/X0qD9eaEGMXIv4/zBg+IRH8BxwCq1gEfmM4zPPvSC++iikD70nWy/4BbapOX+H9/sq
xeCsfBV/rxgM2p2CnTB8oaNXu9K9dlVFWngp6l0jWi4gJvUQeIZdR9CJZU3Cpmvbec5xbA++KS7Q
Dx2ayKw5QShvwQL2HBVAVs6mNpVa86bjpxUh1RUE3htxfcXImONrLJNf3AJzDAYcF2OOvFUtH0R0
dwBFK7NebjEL09xcXl1ZfvMNIrP+Il5tghGh6dKcwuREf4tIlmEe6Y4/ziqi1A/jYPOCbEHTZnCH
CNs/JlG0nbMq2UNDo8xFbmL0RlatP+1e8nPhJvI8LkK9W/VbSTfzIwoSn1IyEpI/f9pL47WajfwI
cMe+DB0xc+hGBHQMl42X7N8QS8WnZqq9DVZ59GUVK1Pfzwnz0OjIZoaEJqS4+lyANvkeT81XmY/l
GuQCvEfXHh+7HglDWOjuErPYeMmit773noKiC+5lwAqusTh91XTHLW5FXSfgvXNEOXDk7C6VEYKR
4ggVyJ6JAQeXzJHR2pgRXnEOvhtWczFBXtGAJLhtVPG7lzxwrROrZmCfSiD61eUIgye64EHQbwfI
MYiU0/pkpNfGNbzz5Fb41H0kLFlvOE8a1p64HSewAhMcdyz7KHgOM+W3vzfNuE24avqTE1Otsr/G
VO6iAPMxmA+w0nw285SPaftEZ4yWj6mk/Mh033kmFGBpd7dfZvbeaTKf9ZhNiQ5UeD3atLzJaR4q
AVwALA5yLHaEdqIyMLxBBpB1kfdMN2awPFlO7p0ivVUv21aeXEWRro6c5VjjTThmGmUDjAQ3eQnZ
Jiw9+gIZ3QCDOyEZAOvR8A9CsUpLirZ9qtr5TRnqcyDAceD6Uey6qd9Z3fLScGc4EelGd04zFfYA
SoQln85pGuOuH8DSVJ6xQppLarHCxutREi6CaxQD1R6dnPRxHxabJXiJFTneylw+rKhBeZXxPXMS
8Uih/Razfji17MFWRZc+1lOVP5d03WhkcGMaNrWjN6mi2iGACu/xyDFq5JCx77v+IYob4wwulvhQ
sue7AN8/iTfI7kySY/51wL2y44hdwEgAPTSDKzrmkg9YBYbOZdRDZYibUBWlm7ljStMazFYy7ye/
i2jtZEywVUmjaYGwUpDPZR9lZIcx8zE6hvmpGrmS9OLJ89zfoxFY57gefjstsENzVDCAllskHetg
5Ath3SHZe1Ojzo2a8jWV52zqfwvABa9Jww20jMJNhaPmlnUo+OZp9+eFbKk/yiZHt+aU873Nandf
NFW+2SWW7B6p8AabOKDX4mY9kNvFpBCuOKO3Y229/vnTtspYy+Gu2oDOt65yHBwEjBRCGTkfFuZC
aLnCXUrPagjLY2E13iPdvpRnyd7MB+9sMZQ6tmWuTk5Qn32VvNOa5RhE0+488KG3mfPFp0WaPI7z
yFWBo0FTFcS+ssJDE7l8bwp8wbVDQiUiKcVeafkR1E63gxfLQGnhE51oi9pnsaHOsm83ZfYaKeX9
kpGBdLhNjCefOQKVtHJTNql/9PpmBFdAPyGqUACMvsNIGnsPeAfWnAxGg/WgimbrMF1kw8YsTwbG
NcygeqSt6M4dYdvLUBHXVuJQpvxKZuns/dDYhREWsdT0bnKuqH6HbFkGg4QglXVxRTbInSDgrWbW
+Lmpn/AghQ/BL5DtQFrTTvTleApsnwE90qgs8eSWahRa25oK6jjWd08F5a30oh9JWnAv7MyFx4ey
ttC8x7UCAIwgmKZBPghyGF2CSoOn7omc8WNV12prUUV6mGUoHjxarK3/OLjMGWpExbu+kr/zeSpu
rmOfPa8DhqVUfc1Udazs+FN9KLOvjwV3EJb6FzVYiG+U2mFT43DU7JweYmdIl2qUQNYilkKnMakf
/RGz3hzE8EYGBj+m65yKka6R33OdLx2aYyEKi1vAGwchLaMApTL/PWXaJrbeZNV3d+hqMjee+dBA
dmkrrEc9Zq0ikQoer4ifELU/64cDgLbwu10H21ETEAotwh25/ScgW9adZ+QXi47uXoD/3bMqvSdZ
Ud7+8Ycwi360g8KdPfMBwuhj5sdZUXsv+MJsek3IVgC5iyni7inINRk2Oy0RvdgYG260rpI1t3vJ
VDHlCN0ZlFZth2gkTNCytFyYAd1wb4Zy6y9x8ViM5Us+Zq8NCoKz5c2ajsn1ir0BBdFwuNc1u5JA
EjaVrDj8WMTXJLUOQ08jq2AHVobotgNTzLfmgSCYgsfZY1RD0TPnbLilwbXJho+dmXxaUn/+sEvm
oXla4cSRXKZiQBwu8PO4/LJk/4BgjTlzCHdvKdzdlIdPnE7l0NKaYMXFmON7NFePs/DfDN5xx9Fh
wJ9wfe4tHxlRyjwKHYV/KTYjAbmdzNSzaKZvI7iu58iuu8tc5g+wSyp+9CcWvF4i2ZhuyJZfKfAn
6CO9+yCMdMNOaT3p3KwTQIxhgLyXEq4UzCw6k2zY/dp9LJkJqXkrSjJCg70RuTddqzD5KJhAjpWk
uYxbamtH4kc+OfVVK7ls0jCIRwAY+jXmG1hM8JAd7iF8vMax5DPWfrSINQNidw9OWw9b7pG0T2GL
w3m9z25Nbi8Vgvt3T5fmWzdy5iaywX1m9O9kzc7oiMnHQgOou2wHDo3FagctPZ1lQTM7+Ryy2X+M
B+s51Sos1wd+btoJqwVP8ptqvjyStmcuND8bJ7UvRWaBtnfaDCV2bZ3alnZ2lHvdNnRaVIblaBwy
i3EAaOj0GWPiqned+EocvjjZhXXvx6R7nULWZrxL3Mco5kozZDbkCzpBI5zRnFXytXWoi6VmP5OC
kb/p9WILUJSaXGey98m0NJuBIMoqYX3RwCtdZPncSLa9k0MpzwO8ZCC/+4S9sWFUJA4mVbp/Z+m8
luvGtS36RaxiAsPrzklZsiy9sCTLZgQJggnk19/BPvfhuLq6jtvy3iSwwpxjbozPBjW15gL1tfvc
dRR1c2RufZDxTJY345VvMdUoy7fxtCTx1yqpInOUDbMZQrB+jyFhWyzvr1iK1x3Knh7bYTMYk7ZE
gAmNaDYkyA23eq7DPUasT67872EUy7WYmn3amqOLjPd57hlfNi2M25Yvq3hMhu5dO1DpTSj+ot9G
PFf6fzjZLn2zQJXn62pf5mD4ZyamEXSyGzUG1q6O6hkOXnXORNs9ZRZRPbn/PWbJPoUR+SD1/Ilm
F8qmBvDoBA1TjZw5LfGlh7jt74FYkiq5NOlT7C3bUkBRXhTSkqoYrEPT2/qMBhE23lz9cuWC6DMa
w7eReNxtP9nNe2sKDkcXnAOwK3QZRc+RVoW461QiigtlXrozHkwHik7LJoMvEzbLVY8tDIQ7tQ9I
HGa562I27Q+gYYr7oJ+eLVPXR92Q8gNBEytpzgO2OO6nXzE5qWxU5mmErCsqa+rn4ivXKSyI9zYj
j21KvfEMtgyiwFjy9AUEAi38uQS5jDseqVW9dE+uit73/l9rnZeOKvtbU5SyOWC1iJyBi8F9KqGY
bv3IfwQbb21GE/3iSYrIOs1fo8UCQkPCeCvaaq/pTkB7R+M19+evkcqjbxUC/2T2V/bxVziiOcOF
3Zz8OHvwyWNt9fDDh8Q3uGXxwPAMZ2AsvDfya59inmu0iPTefI7+ZJM9jZd4E68xfzzu9PIIh0cA
ZSAUsKLxvsBEw9MP1d7rH8p8fjOWdbPQ1LiY+7dCgYv05IRKFVS5DomL8vwRnhMw55HYX1cRKZn1
L4yGv52h+41dke+EHRR5FBEojRg1YcWmQS6A5tJd4MGKiHyXnRPB9Zy7uf3SiQmt6zrJd4PiVCTJ
8mFBVkhWCdeUHabOne6T7M7VAGhKCzRLlptDuERvrk69s+n1Q7Y459HAdQN8cxkVEVmoe7gaOiaX
LPX0doL1B3FAcaevIIipX5XAAyr4vL3J1CmO1RJsQdlPT9DoWDC1S1fuhtA4R5+cBEFht6VE/0Na
kICh7/3N3fFFWTzuqWz+UE/uZkmnOBOFGxcsf1StL12Q3U15qC+u3f5DqNmfnLobLyRDokMfwmPT
B8sNihr+szQCUjI2+a2Q3oyGx7EAKDbLSdSCaFunWB6ge2fW/EiqmyJURYCsH/KTL1PSj4DdlDUe
gs6a2NplcYkrjYp46aEYmnT6ivIcXUQ2/2l7tJzuqsV0+95hVEFsUKYICE/tB2P39tPwC0YpKObB
8J/oyVFBJ8H4vTm2wmfb7M3lXlHyetiy9ySqP/uOInI+nT1wcYSHDyvMY9YBNxrXJUiklhrd8U4d
rfzG9rqVM8ni0AVWNzn2snPX8V6SXfKFcYKfg0Vn26MemIDeFkziVksNxbzolkiSscuUMpAnQ1PJ
XrvZ4n4Yi4OsW4BFdXFGWP/CSCY5QZdsbwPjGmKgD3OG/MBnLcXyzbojcxrLa9T2aL+I326QkAJS
eoc8A00zH9PtZGsihRfSXeKIOVkbnhVekJ2Nu89EGeiqatkXjTjkAI0Y/3UD7TVvVuCFHzlTk8M4
ZtAlMqJZ2ZSmtT3t9LpNr8w/lLZYcqX7TsX0vJRsvbg2PSv7peEqcwhzpyjIdFkP1LBAZjTDp21C
/ySXRGykxRDHpPDi2qivDtZVz446ymp4LRa8IZmgxWioHctyeflcHLFz+hqK5HyuFSsVVrFHAOLp
xrPJKyw6y2ytRB+tSv+1vNzaWX58nJVztNP+ScTLhc5vq/3saf507QZQlGdNOxCS156wbDyn4GTQ
3plbCihnt0xGnpoBx2crxIOjh5AgchJ7G7Ufsr56hDh50X417/PAI527ncmIb8Z6R+YUUZX+4hx7
Np7bGOfRxW7klYyB8MJnExMnNHjg6pf8KOTw6IHRvwhJbo3M1DnArN5o5BMmG67wF6MNjK89SoXv
AOnAU+NNLLa9o/CimzIGzFmIqgrTN+GYFlEh5H/45qfIeBJb67WW0/PsAouHgv9Z2cUzh/ZbYY+v
pMSVW0kUV7wiXHMwQlivujMktA/YHiBVAJGo187GTeH4L7RzF6umf1lqMLfze6ODG7yzC/JnfoDk
vauH18VzANoZngQuhR+7Be4n3F/49XmtOiU4nfPskIfyssSIzztekVOKpZEUx7R/HoIsPbkONs2p
6BiD+O1ZKBe/tWJkDPNnY5M6DHTZ2ZMnN+zGwoKkSp6PYb5oMv7rhXSaHYSkvSeX5whJa1eqFz+c
n6qIWXcywpEq5mfh6ncVENw0Zmo7jBHzRcFQLsMSS5DmGUG1Dx/tUmbiOxjA7EHHZlICRgNYY2tt
K5w/d/PAe4mVNJ2gNuRspja+334OYfsSFgNVros6hMlj7Ew/dli/dEili0gcQyZPm84q673Am+aa
6KkrWwRBl5osiJ2w0O930T7MLKLX7QhfDOhB3OHY9EU1PVC8PpN08un7bLJ4Do4qDK9LR/grfCDY
fP6zyQqXAS8ix5pmOZfzqQ0iRBSucxhMTA5k9C5rCDFWd+ps9hNAjLFZkxrUilX3N48bBPjkP9tp
fsbUmoPMi8qdjjSzHhROCBHn5rCmYbf5Yw7vdAsZo9zNiV3cYcQo7oKl/hMl56JyGecA0GsggPNu
I2Ku1S/4CGfHX5AgA3JJjA/piQKoq9Hd407furTMeRYcVC23vWCzVpcP7gDWoByeQMnam8l4J8mO
alNEF9pZADQWw3v7iw3M1Rnqy+S9yAk1bp4xrjVVfEBeCoQSrJBrZvfebkCWlPBvIOtBaZuIdQmf
dYjID0oak9nK1FSomLpmHMmw1KpzOoOI6plLp9PC7ZdxyM7Ffc1vh8VD6TChMWUmQgiDe2sWeF1z
E/HJ8AwiBPrV5RAN+V+S+SCF/xNgWCjw3FXZ1+VvyAm4no34NKPzNyRph2WO+qCB5p5GMIlVuDlM
MzKJtuCbR7i6RaMOikCkaG4TtY98CR08Q1DBjplJcNzD5epoDw6TweSunfaSmjQ6NVP6PJSSeilh
NeUO+g5a4V+jcOfXs3ceEDmBDsuOpi0/EEdzNs8/Y1p9D7iksbFnLcb/exupek+5MrfWmaiEx6Qu
NXlT4rUlizlN8A+iwKpqpGW136IWDz6blsdqQqFApjYoTFGnBxCUjDSFd+z71T9fqTdUhgz0JEPY
ztCBBXH9NRjdMlLMCIiaYnUkmAZYylgh+PMwaSCiotzjNJyKgHirzNkto43xPC15aNlMbkTPDjtv
dk1bgQ1ZMjAjarnCEKHSsf76SIa2TU8MbQ2QMrVQPJIz+65H0R6JLY5BhaohVHtSyMDvOMHVbaR1
8G3cCrGpQblRoq7MzSAQuCPj5FfT8QX18JzyoaB5xlYug2zfQYrYuMyLjuCoLCOvngwuUdvcu2ke
nKY2gHKJnCuXqyCTofABHUbpzauINsLViCiwbet/g0fGDDOKs6fTftdNTKAamW2Z2UNPkhVZH018
9o1kRSWau2JB+GUSyDn8sI2LvGDOzAMebVLGc//JDvOLnayHT4nqL6bRyeMHrG5IwOhQN01Cn9Py
DDImQfQMonpbS8RgZrFQI+eMXbvY/vGz/Kmf64/SC38AikdN/FY3rEqikbEbWoGNtxCdBWASsyoc
6cjyPxvBN4zxKdj2zObaSn8HRiL3dXPg5zzmSQ7H2CWaSY7P8gHlSEPlHVbbng9VTeSKDEl7h3z7
RwlJ5gFgfiZAUtuktEOKgPAknhhK8bXMMbBaxJ7CARbpoYui+4lT9OEctLseIhI8c8A9kO9m8MNU
BDB25Yg8h8eH5mjelgF/i3ndmEnDOnss0Qj59XxobX6ctG13Phlrm3LgVC8ZvhxKhnItlSLIX4bh
Wb0rbBHsPNSp9EVs/Rky6M1UPTdOPZ6QHt/VadTx8K04h8o+Bg7i7BYJU4Wvfhutahki0spp+ccE
8q0YEeKCyuAGsWKxgddIdq0/nmbAW9tsHBuGKcgQ3ZSVkpWsjjdltojShg3/Co/M8LvUpO+56oP7
KUDniAzd1ZoS1RnuSs0DKMhxZifCHje1Fhg9IIyqWejtAiydJxkg73BLK9Pv7Agxk1OSQrpC9Lt6
wXEg3EfbHX/JUXyEvV64G4SP2h5eIPbafafuAjCAeeh8+/6idqFifMHK9DEADXrVMn3zls+Ul3sq
Zw60ilt89ph8jJ71VrsXlLcEUKQgKLJMHxfWu7uk5OcfQvcv2FK9EdYAHmj42+DCOpJwdhdQDq1p
dYemZlNTRnf2GMPsaKG7awLyXlOJPoCeykNhLi8SJzEC3eifk8RPMIFddvNAX+EAboHAdRsZfAW2
7p4QIwH2qk7desJLLBqz4GZHvFkeSCR+BBoHDYeHbz+NV+z9z4DnopPS45V+lEMxQ6UfWoTXpqLY
l1bp7MpX2Ie0TVRAbdi/aJWirQ6ZwOSAYBDja6oMSLY6u1OaLBkIx6wxJb0oLLNbAeXlYggn3Uzl
1O80yvydx1CyscOvYI6DBwfQvehpPHNsKKkjPoC7YxVMHby28V/HgwFSjf49AOmn6nuynJ+2jzFJ
cWYGkfUH1eC98USL4RFtiOX1P3Y0V1RX1WuYwwlBa35Nc56KXIwYdLhPNosIP4pZU3cCBdwnygd4
xhxoacTvuUeV6boZPx7X3LbMBxbBHrTVhhHUMZf+pw11n+co/bDpklPLmFNLSKF0z4NylqfRLw8D
uXRcyixgC0VHpDF74+ZBrq/bFFU8OFeHTrdQUpyGxPnT1/w/GYogCRxIQ0FqM0+k89A8hbuVfeas
S0H8re7E+2D3AiZXSNRNS397hizMYU9iPYXJkMS/3FT8G+KO9MnpPtPqV5fiV8pHHO4pL0QSUmKF
WPEG+PU7tTRvcRvHl6RXe/YWCUqL8DeRhOA+wWL3lP5dsTyGPck7Xmzs+9idNErrFZRSDVBeyRGY
DFbRBbycifpzw9l5bUIXgjC3JNFwnErVku5HkiK30OiOuG4b7N6kj4zhl54kAVZhdLIXer6lh0+f
B7jB1IB9ZI7VwQqWL12NZ1sSsuk66xsc8VCSO3duXosZPSLRH+mtSkn/FClzMjgIEMgEa9RA3Ym5
Hra2i4vDdfqXLmMq6hf8CDQPyCqp7+AyLMvg79kl0d4h6+ZjxdZcCexTnnxpc8+wT7cYpjLGKbKe
PxJXFl8CsqiQKpe9y1Mdj8UprdsrdqRPIsn6c+s2fB2KTwVsDguhsV1hyGZB8PzmZzZQBpgyEPIN
JOQOSBKe/1LiWsjwpC9Fv5zLnOnZ7OLRS9NpbwUlZLPQ2dfg7u6XkhrVohk0P8MSJ0wmaqq2WIxI
yAFsLXx3iDUHLLPZ+FBRuRzwi2e7eb2V+LbPMzgslmhPif1Hk0l0TDon3w9l8TsaCCXVszedWlbf
d1UN4D5YnSQNQ6aD11TOSwBDwYCku9eUXQrt7llVCdKFmn5DIUg29eieO/DHPBh9ib0OVT7mD5LY
iCR1WhJInCb5J1w7eiG1wLWWl6qT9ot8Z3tjHhnnEtuiFg6fYjkIQoNehlCvWo0k+xtiRGjyV6D/
mMD6MjiBFSObgil4Bz1kh+I43cV9ionGzdWBwowZWbd3kAC8DhhBHtLIPDqE54DZKYdLKcq/buOV
hy5DWdAJB0FSyRofrROuRQAiz6sIw/H0CVbyw1Tr7iDTdNyLTH4BK3DxaQ2VAT3kBnBHzaSvJbh0
ytPYbFvSTB9IGtt4LWyIBKbMoxi4HwYsLschZ//NkJi5fji0pzidf6yiKy9hYW27OvRfFBxZbCZH
J0CcrdeQysJFpeIN9rzvhDon0bgcTAz8gZVUuS+IDl9S3zklOVu5cRDuYerohrNgtskbG27JjI3H
GTChIw81V19H1X7qJBhIRiaeiS0UN8A74Wt7R5bt9VabiBwkmZMbaM8nOWAQajLXPWaovgHAxe6L
tOxsTwppB5iMg2hiZnZqggADia/7pxAo875tWwHHgoIWxRz7+2jakwMJHRGL1F3RPeMSphhJ+/Em
GGxsoJohrfQQGrS5tHYT2bARXelj7sqCzQEUY/LudU796mDDxXlm76N5/sqGmCsaWWsL3LEji6bu
guhQVc3L0FMP60X86cjWbggeSFiKHxp3+sVE8aQyf3VYQ8lQ0tQ725rVusRJj/bZYvZxafPoxMIG
a+m0HgaOZEDG3UGMjDzMOQk8xoXyOvmYndGIuEsDm3eaAb/BND6zmNlkTpv/9tc22U/0zgrz8cVw
5BG7Y0fXZep6xjdDzRnFKn1JOdcqgBBV+JSnNn2Ui6Mzdh5oKMONWkCI4xRCc8rFpdSaa9s7H5xU
YI18Rf6Z1151CAKbyUDnOeLauGSyCbNumaJHTQ95dDvnLRnfXQttceJCBSykPmXTj8N92p8mZ6Qj
w+DVeFcZD95F0oTvBgQBsXQZ0ZDMtWN8hX5CBn9GBcTQwZPNkA55F2uPNwTO2QmjO67Aglp1yb1z
PNoMN+V4aXpL7jlogk4xr426l0JHfxzUA5shvvqJ116GiYkmtjUG8bRuCbOcpGxQuxzKGvBhN40t
3SKbqyxnVW6h1kOYUZCbnt9sC3ezbMuFy4LcRMPKhD3THdOY8mI5zivTc7PvuvwJR1x5CIYJLEkn
9xZLQGqrdhvNaiTSeN7mnE9oeOv3bkor4jnd33bJ+tlhLt2incRtQkCrlVFniWrcQZxAq5+IfRoy
2+AN7zaei6esTMIvr072UOa7o7tIj7m5bR8Rsemz7LlXQ8NGObP88dnUFSSq53bxiz9TX7x2Lve6
8mxExDiF63RcASpgqSx1kCyGAEA7/ZF9l3OhPqI7wNDaGwvvtgZtywZOb+zen68+1v3j1FosuoxM
IaYwl7Tbyb/LhtzaDj4JAFJMXz7jZyAd2YQpPkyYCVl4OHQl960EXRl38yszQjihTofPf0aj6uFX
ZYDrzRfLpe+hS9ebLhDd1VIpR4jy86c4i3ZxM6MrSRdrHzejT2Jl+eJk8blwAvs5HlB8KhYBlDDi
bsC0Tp/FE5PzjeOeqMq9WznmuYzSP3F7n5sguh8J1d26sa738BtBpQibnQQv6lFZqMM8HDnnnEFO
sX5cpH9A1Jjmji2bQW+nZtw0Y7hsyiLD20qjtrWYeqjaVAw30ds7iIlf4KvvOqR7vV3bb9GIgF6v
22NIIff9GhJVk4hBk1zvwS1+csTrO4a8q9L6lE7wW7NFM34bWPLfQiG7F0Py22YZw+pAO7bqEgQj
yCWYjwgNml01MiDvIqth21pUL2OYk41nOc9eJSp26aRH1sqprz1xgyfahiDyzCsV7EOU/BUwJc6Q
4Jb7WY/1kVtT/e8pIWrwzkPDeHYy+gf4xw8S0squriFKTEuqWJTKTQRX5GXysCSP3XYQo71vhnC8
zoiu90VYsC6KwukgOljLPTojGXUWScvKuqiELNdh6l9JpDsEpmu3NvEyJojfkpbIIgsx0DbO8u7W
peKVnMdbmJfhI+MK5uDYfbOmAvkAO/vQ8dcfHGRiKNzNXsJF2Ybs7m9FNf5Nsr3hNbnYxo8vysuo
r7Lkzpkaqhk9Ehy8xsSXBsdSRr+XWjrH/ma9jf3U3tHuwdmMe5clsnqdCj+5sFHcuWyeLi7OYG/l
lRQSgbyz7sgJD93IAlas1bLYZ4yoMk0zVmEzayJE921I1KlyXFQXNUCo2osYvxZPg23Cs0l6lz4k
01QJBENSVhKVOSwEUX+0bjx9WfpAqY9nGeDEJW5pdfpRWDtdgPI1tZ1uHeRN9wtDXSD4u55M1LMP
fa7klbtg1nvkjSPhau7fksgMD3ZHraemCW1lP+hDPTPEyrHsbXHyPg19VB7GDBvI6Mxy5zs+OmVh
Ubzb2XKrczJWIcODU7JunsCkOcfyZzbCfxw89IJRSmk2UjMwSiqw6eREA7FaJM3ztVaolpFJ7Rpd
/KAJ5O4WaY88FVqjmP+2DGMzbRgiNWhqkpBbAf3lmfbZZ8ziHyGYHIvE0GGy7IOlZd7beIo2ouw+
u1Vfo+2Q8SXrr//+q702+7mz2Y+qpKNpD778fvxkDlyuUSH9nT0IGw8Qr/XQEm9otz/4F81v7UTP
Oa3z3GLgEGzQ6rKsTtj7TjlEXwYsUHkgIRLSRimHubmLCnZDETMSWeBrQGyn0HMojGIkZfOkWCwH
6Y00yXH72ZvPLQp8coeJmeiLc+7A7XS631zK+dllIfHQUoAQPvieNHtEhy6qyrl9CNT05QmGUi2z
nCTp+f2oA8I5QPae1Bo9MpjkCtXuN363M4kQ9rkZO2K/3Qj4fm3eyR3gEOyGV/5gdd8FnjzGKp+v
0/zBRt9cpmo904inLYXMX6yVEoUnvNmMg38uOA24pyswQ8TtIsJr8ddZ8jhWXX7I7J3KahJl84Sp
i9T3toaHYNvf6PMw5evgk1xZCD8OVwaqy+GY6h+BujhAJqWGWP9SoQFUEFwDRH+bydXVXj615di8
prF5XRSECDbFmkCQ7qJKEVwWK/1FfmB5zfinjVQdruChkG869K6B37PjCp1rp634eUokrwjMENaN
wy0MNSQDJZotAPIr6J3upeaQ7/3YeiRq+JfLsqoMsvHWltRskll/Ko2Ha4HNLVu9LxlTmEU+eZRd
h5PPBiJRhOsx05PsyMF7H40u5Sjixp0IijtP+uZuHLK/RZaO5xCsOIVj+z31/ACIXeXdnNWUIKQP
8aoKTkJTNzu1WncD6RUHijvgtGmOdaqI8Kx7VXr2UUOzF07v0LJbt4bppnJwC1eic+4LifNYyMzf
jomQx5R++lZP/Kyl5z/NRLeR7wt4mZww4AnjT+8UmsehrV9gG62xgot1WggwlmbEAy6ZjJo4rfYF
/KfbhDB4JMvoHMkSZL9EJZWj4j03ttqD7Mm+/UgnGLX6f/GCpHToguScWA6axLi4BfGPlRJoNzL6
uBva4f9/wb2wFcbICzTg8KoZ5Z7c1r1xvHqX3loZrvVKqyLGiGyZ9j1n221NMCGwf6WrTO9O53sX
U/If/kSIU7j6y1Lkj2VMiT/wF60jr0bgxaReIboK58a+lp5C2qhpwiBCA8liOvSKu7semWSqCiVN
RPQpI0PtbZdIlUfnT+743cEmwOR3L22U61XJ4QQ2BKd+dyo1kV1MZo8+ii4EBnWywzfEeqxV4ZkT
4RdmsA8WUTMDfujBpEYg2J2H7Ty4yYYE6v7JNRSahcP2Gf2j2s6y/o6QqA/DVD+0Iiz2bh23e1fB
vmNbjhdAnRzYSRXRSwyXZiz6xnmp84YI2YZc48QBYxgzfePzDxkTEf1A70MzaC/0xxG1m2XZ/XGs
o35rB6vUk9mfs4BoJ3nnQghTgTSkyhFzIgfCnRMdi3FAtNupo1evkdFyl5d7BImEHo0GE9ZqhvZy
2MXfA7LCU+kWSBzShePUBsSzmTqWgcRcorlxPLg0JJNt63aazyNLwYud3ROf7R2M642bEK7ZQThi
6/ekfFmVAiDlJfb/fklr3zmQLIlnhmOBQHQQEnbNDsqKVlpQhOVJLz+9m5hX08/nmK/ovqvxwa8J
FG0VXBLFe1CCX9sFCOkOfBzz1lXPM3SZWwrG7cnPpYGKme7rhegH11+wC6Ur7ydW34tiyskBJ7bV
u5UKbEFE51GkOPPVHtyXhgNliwMnIZ0w/2lwqhAkkljnBWPhliGTfQdkAxfjoN+80H2fBt/BFgvx
RuAwn1tnuUJoRl7WFfXDwNPLWHwc75kVFhDXZHsIux7K8KDKx//+3X//xGz2ktdjfZt7MrDsAkC1
XIjDc5AQwWnE01WAwkBZtzce4CZWg9OTE4hwm/SkLGc+bCx8ltjHVHOdYRIJr+2vfd5fE5tFTtqn
DqNXthj0O7OphqeFZZM72PkGbikGiTqtHnDElw+ln7xPjmJ+2Y/dDdTSY1PP4wmb53T0FsNch+Bn
NvfqLfOct4zH5Wms0jddC4MPNWUAeRrzUd3zYvcfpgvv5/Kzz5P0Fo/mkU4UpStk5ZQ8MoR0M7lq
JI/f3ILgUmjrbxri2TNFjP/MIQGaHLc7I8t17yQBHLU2AOZA6j/RUGN0k/lXA1Uc0jd+3Np1yOjR
Onvv7B/RyuwuSTF/hEJxJktMxs74q4qj98RDnMkn8bxgL9sUAVWiHi0i5bPktz9MBdiCQu7Bv8ya
eB3zqHMRPzSqWLbgEc4Mzf3rf7+YoR+3Pm3utQu6GLEV1sFlR0sNeiql1xGmIRzHm6vDEEF0kDEV
40Rn+gC5oT8rbOI7wkEJ5wrFWyjGGzZ+HF2BhcBJ4H8DmHLo0gktf8jMAADeQc37Cv/sKbf736zZ
aOjKEniU2hZl6u5akEpZh0eO5qDOfg/FaF2DHkB/H+yB0j5hmyY33rmP4uIVaTP6Rq6F2gPYyAVJ
usmNvAT3itjuM5B+hJS0IngsQODZ30kHzZwioigPLiV0r6+m9A8k1S2thzh/SSW7bvsHzMy30Mil
rYRpSM/a59adZUGwjxOBa+3XkRdbV1DnFjVylpfZA5qy5DAx2d4gx4ZA4NY7vAXezm1RfgCOVrsk
0x/02vlj19NNQtv5jsrJv4oRGDrv0AVg6rCtB+7YESj/zR3O3hBUv4qYQXPhx9Nn1TcfK2NcGOlc
wkSGp9EEz1nlzz8ZY7bFGvoTHt5ka/I+w2rbeuiBYvS4g/PJNDd8LHJ1jykVP0LjDw98DyVDlqre
icjQAOvI7Jy4MVsf2cDeOM2RiaLzTb/EjJO78UHLhDAZFwQUWaasMUdfEMN3TO7NsOgPGWGaixkr
cyKwhcxK/U2W53JnMuuVcpIqAd3lc+L5mG+6tNsxYNWAmjL1YHWAIMM5qu9cCxMV+SftoUOGuZuc
7qgi6IQiNWfEuXQoIxLdnqyvrQepZsf1Yu/8ifzNcUHMGGjrgt0INHyX3OaUGLFyDJYLrhzgJ0Wo
TrMV5Tf4SA+RbA49Bc/PUIbfvQBMgAxUEB6IqnNkHLcPftDoZZsyJ5up86xH1HHEAxpvTxOFrW7K
Ly2TBARieNMGUNr7pKVpLtp+IZFAfbk+IFT0hrh2nevQ1NWLVbzopM/vO4fg1sQpZzJzinUuq18r
rmhpgIjk3vrX/zMtJZHFqu02jeBtlEznN5EknaX/muL2fYZfEmDMacZ/vg+Gspsbpm2wN1i+xawq
pf+8ntjsPnGNwYWat1z//3XC0RmA1twHT7E1Eag6IZ+KR/bxeRO7j16/C2GNPnUqvhB8TdAhd9EH
oW9bgGjpbU48RcmHeFOFRXNtcGEQopG98gEHD9wNBrtRl52mPs93YETw+7SK7I1WvhpSyTRJk7eo
hwTbxyUbj0WeomnBLBXsBWmQMCR652UpGTXOCxJvJ+7fsaWeWwbe6VT3/yvU5CzJUe4eowpqXx4J
g/JTPTW69ndzJCYSmvhqNM/sPq5hJLISpBggGeI6S1Cffc0yThbGHDKUzQcGlS229RTpdTy5+yDH
Dt7VdX50+vuuJNigWeTAjRjkl1Rmf8rp4rqCwCW1KqoDnqk+uBis/Dt6mwAJpK0uLWPCouW3Orbn
Uxkuw84J2ghHCOIjTe70krfQU7zpvtYxvU2Kw7UM4o2r12zGLl1uGhSffO4LtBWqxhZKQDf+J9Tw
RmOidOMOgiINGJO+NOdYy+iTORJNqS1qfDx6fBm/S7TbvhcCuciz8ML0+K3sovYFRRiFw5z0RzlM
NOhjcGlcDa8neJiNhzKssJ4AwGbHFFsytVZtLtQFpyyZnaMiGuBIVcFsejbJdbGqq0tu+aVFTkYo
S1CfnIm8pbaw5RENDoQJbZ3HEG9bXQ8HUZfpWXjpW1ZV8AIZn+8Uar2FUvwmXLEAu6Fly4WfHp12
5tCg31dBe6u0JGAPDeNssY0O4uHZjvL9vHjxLW/CkglVLXmB9NktFnP2Owv50JKScJ8MpCsKVd50
CuipLh/B48mneGxXylwZHoZq+hLjEBBcOUfMZnjpdGuZfc4j8eqIETFui0y+zasUd0IabvCP4iLL
e7PxemL70EijbQnSdQqviNJCtsJTE7KlFJ1m30yEApKFeDtZLYiUSttfarxLpbzPil99hvKq8+wn
jZd/Y4fDdIAjKvQev1N0meVfX6Krj6J4hlA3dSykpk9DbVAiarVLSryme6dRVWevJBxyjIajGoFl
dtjFashqkqDUTctOAIzJFO6mknCTQMQnqZzqbIe/GbRwhU7xAcsSe1Epz7ab/ynRtXRKExTTZ8WL
5JMDxFHcE4VZqy68g4LzOK6KRm/s3bMN4EMRj8BQG+TfnLnJxbTJPQnhv/KW3Qt2CRflAkWXzTV6
JzJ45VX3ZygQwUfXgrVdQ0/J3jVrWW7KqdQ3IMw+2/uYZGPYx4+xVg6EhXbb0Fyekmzwdj6SF4GT
/awQ+6Gcx0tg+QAJx0RHewLtEkIhNMeIjR8+trEdaJJ2Y8AzOeb/sO6RampYbQuewI0lITygVPhQ
fbJlTR3tCychaFOU82MXhtsoDtNH10i1y9j6Mv/OD247T69JCo2SAJ0/3gwnA2s+tM2gPDRCZFif
CP0MuxlUZtmJ30091Zel9f8hUnMOQFnRFUa2/TvGGEXWWtf9H3Vnths7lm3XX7moZzOxN3saKAOO
vldIEWqOXgg1R+z7zfbrPXh87XJdwBeoNxuoFDLrZKoLBrn2mnOOuTfotOqUHT+x3rpRiNhRi1wU
K+KpahfJdOcLX1ynRn3YmvK3tqqtPcmeceMMLBrzLLmL5sa7Xe6cCh8q+OnlEPrd29hKfHWBJABr
dO26j63oldIgDKfTvm+iNxjkOzrq4M2V1ZZoGg47N5xW6WweTPDhkRsPK5R1yeu1NLLgKW5GJgtU
RlutbQL8sadVWCsw5IB5DVYKfz+QKsosofmaCj9gTz2UDx6PhXNde9qiadEvYk3ehOtHR8/jZ7Tx
ErVphZdApEdzVMYiNDyCNRHYOEUxSlwmF6PPnnssUDV31kXR+2+NFRiUyiVrMb9fNOQGy4jfO5HT
RGdFRD3qr0rX3bWgxrKrqnDTxliHEh8XogPAasU2kyJgk+8e0MgzEWBsflNExWDEPOIV6mpY/osI
/QGHV1ZfO0tfA3Nfs//RNrg+yo0rrU0KgxebYg0sPa4hCJu3gobcLSxA5zDMH8w6ps+VzqQlDXfp
xUOi29It9aPlo6KGjod30uin0fY/wiomxj21Fc2Y5msiwYYFqQ/hpMnPvYYmqYe+tm4z9kqePl7q
1q43PJZuY06xCMWX/BjheEhrTvjkIE5Dk71oZZRSORVsA0ptdhBb2PWE2nPj+IqVHRkWqEdwFyNh
Lgnwl9fCMXgrpj59r4ZYZ6nurGs3cR4CYVmLkJwavTwOB/lSuWgzn3HrqqtqWBAoPmEiMW8sCESt
tc6HppaevLqi89R3cZtOVXZwW/NXapThCQjZzSkNPO9xdyNU+pXz/hGDUZ+5rqK6wjctcJLM2eke
NYXNIIGxGqwbFmvzMs0ldn/+boiO/3onyfZ3MddwNP+xb+T/xSYRvGSubgpqcP7vbSKH8KNO6Gn6
/qcikX/8l/9eJuL85VkuYUdDOsaf0pD/VSbiGn8ZhjBN0zAsj4DdP7pErL901+HBw42KqJ+r/+3f
/lEl4jk6VSIWeTzMcbb5r1SJoNfxRf65SsQzXEN359Mi36Nt/IcqEZEJCjjo79tyXOkKujvceew1
vOnBjaP2YmrcCdQEUagwrZ/G9nYBJ8zfWM3PVl5sSnQclqged81R9s+Foz7YOOQHGTrBqmJM30So
hNhxsXWUuZVf3DB4V404yykej078wTssWWWk2NaTaUyPltI3nAUUnzOv3vPqLqRpfIyZSsmNspiM
zPTJss2fUlbZsk9g4rA+2AuPHARmHeZZhwEigf1AOuwUkcQvgKGCJ9JSdqO04KmSA4GZlWyV3miM
euvqql/6rJsWFiEhou4IcxqTh9tvFCvtc5UmmOCDUWIeCr+lE0Cnol65dDklEJ7289xc6wXhjDL8
pWkz4MVzY+RghIw+8L7DAH/IEDFZRW9uhYBN0cJBDQ5l4ip4Nt03Q0++EmpDiRnaS6eEe+on0xq0
WHbXiy5cm0NH9QUJZciww3qSjf+Wts3WJF66EUrWO57V7x3t3Z8MAmc6HwItNm6+1U7nacjwxeN4
sQvBurzKD7qRxg/cKbtL2O1InS9DJy0Q+3rzkVZ2/Zza2n4YXMh38/8FuOowUBHLasS0HyCGIeIU
NGhieBM8lMyMZhXDf+R4YJBQSPvXNCU2VQLP2ncVvVkcmbAVmKHxnOD5Wo+ON4HxaZ8ZYtIToHHa
6rTokGkB6eyxeNBQvZ9R4DKGpnvdeCczFsOpiBuaRar4Nk6ZdmhHnu1TGG8rs64+HO/FMPBXw8/x
vvVMriqLrKxscdFi08N5lTzGFeAKFqn21oxIPeU1IxPhQxvegb/ThkszHxKJKb6QjonI4mbmStMA
1Ad1hd0Cw9A889VUf/zZ7+D8spclhXWrRi/M658P5sgMmCYMPjYa2SUPJ9R+Pfk1DtSAFHgkzjSq
vySSrOlI0OY4SEgythwhnrOY8+PuA+hqsYO8FCwqJ36EMDG8DGP6nNbO2SfDR293Pl2TbDxwJt+D
qRPvqvVWlhisB/LoFU/mbmJrgmVQH+JwVyQ9NVjmtCKWW61by7BXsU/hM1ttl9NC7mAE1TTj0AMX
lba3rSfnBCOkWnR+Wq9s4ss9/sBFpLa9wdA8ePKatrQP89jVKTIE3qRGH0rCQGVjlRYaY6wJmVtq
3Q5rNosw4+h0Muc6W0R4Zk8gkR2WHIOFLx7bYq7gZgShxJspFbgTzg2AzSF0WOFBYEc9eizU0YKG
ndTNYo3gmb3DM8oZj1FN05c6sUwqWiUiPJ23j8oCnugH5bPoOtbS1ACGLgVy/tRtMaazRGZnvq5A
Up7EXEWgWIgvsyzvD6wCFnJQ8QORgBOmwvJuSPNJgdDYyzlemUEpTBPV3JhS8i3dThAbM6hLRkFz
XOTsQpejbkoi5hIaVJ97FI7IujmR++KwaQK2FMDmJkMCa80hYABGyEedSYxsMNCZFqZs1hHrjKgU
8nq2P6k0X8oh7s95BCw208eF6ZPYC7Yj+7fFBAplr5xSv8mUPapyBZSD0SCsEX2zR/PODmEccCMI
1RglDnahnwTZqZ0ZW97BaMAddZ2G6IvdvAtG0E8R1Zim3a07l+uR0XZcSeG7WFQAUkZksVfwWGNu
4PT1gG2JtwF9jNC7x71skGEGGZ5SYm4Me0zXMCqwyc6+IxwF54mDOb69kZj6r2aozWMrpbdW0gZ5
0DJMTrl2gSl58eLY2WnURmtaa14638O2xPCZOrjXZloTaE5ZZpfJz35kVX9p8yE30L+iqtsz01/r
MEUPKdArjQ8mfqpmhfYz0dS5ILOt470GqcFMVZf2d531H1MNi5ymx3uYjBZBrHrbNzQ6c/ncBnYx
1px6BaC08A2I8pQLf5lGiZu4Gu6iLW98TVdP3su+NiADXUJaSiKsT9NVcYzzjqOssdeF2Q4S0BaH
/lNVst0bARdyOA/uNA1ZD6pKvcPU47nW++ZSEFsrtYQYvq0943YDGJiyDKjNKzU1OGMGfCe+CKEa
Av7ueLCZfrRv59wcgWbvnOCyOhtMqBNwujmrxHqUTHkBv1Czq0NI3QTevoJnuQmDAxrJnMIfJ3mw
8rvUrOzgGTU2N1bCfkinToSGTKXUu2MSnlTV+EYkDA3CdL2NYSZiJyy1SlgjxFipkkCeDLJui1hr
yhNnphy7aCZWltXQrTrv++mmslhdwO6ocKH6fvA4jeKl6gP6aj11l5UObXreI0NdesAk5Bw51LWL
XBt3aFwpUtIeuAgvRYREERp6D9Ihuietv6vbyNqElUslJHaKKeQ2lWUstbKw1VY4M71d5Zmvlpwk
3epYpyw/9M5ojo1RV9cMzzG7D2s5xDrHQn9wcUrIdNsDHh5ymqKIu5AHLaQFEDsJDp50T9VLZ9sH
tkGALyKqXTPLw9vSYlV0fcRpyy/eXQzXRlWsPB2ByOmI/KR4A2DORQE2YSeI7wLjzqrh0iazS/qx
oTnGssBcFB7vg/A8pmo3FqjajeUA/TJ1IpOkoslApktn4dUZfDgSWT49YVIhukhPJ7amQXfPPYtT
inhu87a46il/VCUEJMNkWim3XxoORCpJroprpyMbQnSQZSkl8BzJFtMDTCmx7G2UWB5qSfsZUwbL
mp/lrDKsYaU9oFfqS6nTlWOC+90yxmBItsU9sLo3z2/emBbob0iobreiaG+wXCWAEEPd0uNPC+Aa
vMMFmgxul6QjGFR1uNXsu1WI3eAwSZG26hK0GvOx4a9e9O4qt6yLGtPPklloAKDK4jyBfxe/kcDZ
YW/XsVYlN4nfwm7MjhLxJuIbAIJu4f31XGoUB2xweD4keD/kH6oHtprsDAAH6VeuhTdm4M8Rx0w6
wMRyCGmPSbYeOyJeicdmNgHdviQKPixCJOoNrW7jkvWZrBBIB3XysllvcPJko2GbJzX5rdmkHFyZ
f1sCqJ7fBuFBSpsREYKf8EgEKmNXjRo+s+rNgt5DSt44J/7IOrs7CtUd7PTi+PqRxOUhD2zwv2Xy
o/PbF7NdW1BGA7iXDQPzn01Nb91i0CO5/tOFoIpViP8CCM6iNLw79elvqvbuiT2+ghFdhMO07abT
OEfJ9Bey9PZKceRf5NAI2fN+Fo62jkZebAu68qA30ZIVEaVLC8ehRbxAcXEKY90yBk6DT1mSey8N
IsuAF3+EaRO11vYYoPErzE1UFnjcpRDyXmGDR0Fd1+pNogfUiqNnGFEFFy0MiYpsGvGP7tv7IuPc
OmjuHVDd458fz+ghGrsktxdGUO4oxviNraZZ6A6ocZN8U9z4d39QrAmIO2AzOzhD/lO4xrPdE8lT
0ac7g7qSC+7wy/ACyeg9oYKENrd7xkXlO/kprLNbBihas2hP1x/JMfAJ9UerjX/q1t2LtnpjM9cg
Mk1bfourYJ66Tagc4NV/lEw/TRH/TGn7JjSeog04tdJ4zDP/PsXJT92NH4W7QVlBXXQC/24Bbi5t
7x5NiLEQlIM0/hSsPXHyWBfZQH2O/XudZaew036XANc1glyldo/y5i0j9udX8WdboqQTt4x4HUmB
8p66Ju6h4T/CKv44/6QpfGbP0B/90t6n9rCaWve3I5pthRE3SGBV2yOPyfnrewhyrjahX2AHKhmL
mWOL2Z7nLghzbs3S+SyChvc7CGv28p/hFK3S6I2GxZOhlW/lIB9z4AOOpz8WZDtFqq7zj1dV6Y9K
3X1aY+ya0dfwDu9+z/ceho9h0j8JkwDf9sLqt15xnjoMCQDCmAC6jFZ8g+TgUBwwY1rle4O4Y/uW
hdM6euRYiGzYvOoVoPSafB4LRg2uBXQMkUGFtYfyqeFYUHViWkqz/hwq8Oo4xUj+UW2pyxhdD/m8
C0J8xvWndPOrr7BGBBnOVQ9DRIInYem0jDo45OlBE++gz05DAnO50wG85yL86h3wn4PY2UM/nL28
WcdwMrZeEn3R5WseXFBVloh31Npw2khfw1lSzuMGlS5zeCTUgzynNHI3SE6VSCQmFXZtrdHiU8TP
7Qk2SG6vADqHyE9uVoYHM6lr2shyVMwsTrazJs/IBF6wa8dDbWB6MPDcb7pYwYfuCCykmUZCn9TV
iBx2KqPpKtUAaAFZb0WGdrjClduM44gI3XXVUcMVs4DVmPzioNzbzZehWfaDpzBpy1FLDvZQgytI
Z4tam1QHnUpRjhE3brdv2JLLx6g8xPzKeYd65H2LEdoWp6PZzHoA80izV8AdG2b6yjNHtBYxcw+S
0ttjIvtlxFp3KnWIGcoak5UcGpQmt7r2DTXxZZ/+0skj00QO0K7EdhKWMAFH52UsI7m3ZfOISaE/
kY1cip4AFXs6eRyI9Z36EiqL8PAjjUVypqDEyXrr4kJ+pQZAyi1FFPhKJHGWQHlENZKoW/U4GdhE
Vv2eh9OFGrDkULsIWmOxLXHWrNUYJw/8g9tnW5WyL3WoXD6zLOnOFJXAbtBbf2/qXKSRgKZUxfvW
67mkdQSpYXixrNp5QVzYerwlgQTYxQ4JrHwA6PESkHFEWNGjQ9lGr547f31aGJ+9tv9sVX1LiKw8
sRr6ykIUYNJvxWq0mBDtJPAPTs9vjcJSpB+XpbLbtuCR+9o8G161j1mhn900YQluknzFvVsQhXCN
fWSriLBEoO1KCYFb2g2wlyLCLATWy6Eg/dJ0J1uGNqhMLuuo1FYY+66uk3krjfTJqSSZ5UkPhnPp
twSBRbKlGyabdhWQcPxvWgtdjcYi5KR1wrrkYtTtKjEScYzmD1qW/7aAdWwBURXbugEhyPJiXLWF
xvUxONGdFVSMMlBtWL0uehTFrVb4xAiT/FyPMy/DT9Q1QB2yhT6dfDLTUyXkRmtd+QxXrV5qhv0x
0OyQVeVwHJsWnVXNFaVs9GEjhmBHyrgkNGgCfx6d5dQzhpRw//QgBM8p7WUPbXPZdAFPQ2pyyIhv
slQ9GzJArAics7QCf92MHR1g9eiePJXwEkiR7IVvEaocXdJ51u8mS1asqFjDME6RO1CKO7n4iFLt
ORW9udr+Id4yoJwxDUNt98Ngm3uhuPSC5dBACI4b4MJMpLv0wfofsw7oCCWC6aYyusd29Fm/WeEN
rKxzcprkO6Y1EuleJdSO6Wye1q5Pl1gwcLT3PXpq3NRbFHGYQNfZkK2mOlOjqXnGrTYFwk1SUUPl
AKej3c6wjnBtd4GNRaDSUMumzl2N3VkvsPcWrrbrKdJiRUGeP801eQzgHgw1VhfXMAt6f7xiZwOi
cftD5aLkFHjSyQ+5QJzj4SXCt7mRNflDRp1prWKlLe2q+mVRR0fACIBLkySbgOXVcnRhkzTUzy3h
SEEm0gJkzLo/pBxtzuGrIOSwDXRS4iaplb7HmOeIrQ/6bt1O4S8OpcmRjcur15lQMngCGKh0VI90
4yqkw55YGcwBjQjmFjs3mycP7meWRTsyP4z2/khZYhtyK+nFg5VyT501EbaRA/32blDh5NdTFz2n
J0xiYI4rZqz8nw92j/eTYmV3zXSDQarpm6XoDGBVwpNL8g/9Mpsac4cpi+MHKLZkBN8HJrTk0L1s
ovgM3yTZ2W11rrS4WIddyEYonjs4wjE82MEFp4t9svFIxMSxdqFdkw+ABINtgxYTlzS3z9wbPIxO
fM8plpJTFKyoJVpq3EpJ8ibwGRs5ksodx13W1M9mN0cxhQZrQhSzGPcRayR94oiNqtNRNkYj/BGn
JYTLdPrStNrjoQTgKeYNeTRdXzB4jS+1sst3id6z4mJoj64qunvNmc6TPPBxCzIfpxNWF97Xtqoa
7kB4FqPCQOFi70nxAYVteZZ+pq3F2JN4YJZ8tGx3rA+YSHjVqu/GbZJ7KpIXXTrbDgfT42uUlB1n
f5LcGSkhls/WuPd1Oib7hMsuz4xFhCZNIIH3Tycj7sHSvJus21ZU9LV7S3YHB29mGrZ3KdsPYIzm
TlmgnupwfIgag6xCCxPbSdJzq5x4D80Zvg3mwisU8EfZ1eY2a4p7lbKgq1+nDrZxHwOlURP5U2uc
/JtdKdzSTUSwq8k4h4xsn3AEb/MUm7iFGrueFYCdDdoeaCl5VGSXlSdU8ORot1qNLTv0HFi5U58j
n5wl9d7kaTAjLUuFKmvhiRnDXWLxK+jz5gQ9EMVXA6jb1N2W5SHBZqhkflYSgGeryS/7OrJ78oLo
saojZzUGls6apTkB92OFTYxlxAm8cmgjM4qnWAFsLiMVwXeIzh3mtlJlWAVwhF+8JPtwuC6WIpXa
pme9mY1UW+scDshRA15Xk652rLcs3nxsw13N9s4UzS1q9Ykf51VmefZUxEOwjQf72w2i6gIWqz3O
KxdK3tLmo2qTHeHF8SceOHPgoddzu/5WitmlK+QcbtBOqe8POzURpMxDxUkhPVZ2nJ37kGBJONJ1
UArrMxeFSQ0ykyEISkyS7kORzRTZHrJcEeAbSTvhn6l75FMjyJPU2OVpPl0qeleTspH7etY1y6xp
NyIBVyC0XEKiRrcmAcWACqxuYzjBKcKntZ4CA9K/gTlMesT01BCyxECTPCYu9o35n1JqvU86rFUk
t8zig//QoTksyKVndPsxKkbCmgFcdAliwSbqMpUcBjm7b3rO8P1U9Ec98IhLq4qHfK5/DhGe/DFz
g32bdABzQ+6W0ZwD84CGox5mO8fVN0nmO4tQ6CMhZG/CyJYBBii6U2rVlG2zSweMtYl8zvM2xwhy
zdUPB4HxQDfFeJjG6Js9dEJ5bItjKMf2ZBpmvJs8Bg0/ZblYSqi7aeqWWwxHtwSOOhC47G3Air92
uipawjLgJC0y+0wFIsusqPvjWKVTUYCQxt+wHQaYT3bm+bsq5MxMiejaNvUvaxTyCvxLXGFWUgYe
GhS55dumzPGxpmW3ogDpiqOz5AZjmtvaIjBe00+8NV2HIQtj1cIkCHUiZYu/q5qgY1XD7xLrzdHr
Z9psmyr8PW2I0y4GkMLmjBI0ERxcyjroymtAKxmsWkC70moi5z0KFwkiMnfzUScqz78S7b2RiTLj
9OA7rFMAr0M0jfqlY+CS7jp/KwNa3vpI31lTDb3YDQnHgT1ITKqa/DlK005BujQnJk47paatjIqN
xdr3GpeXyqeZQKX0U0iJ05K4qVMk5c7zsd/o9XrKqZge5LZwmmHd9dGmyhzilq11tvzq1QzY0yGb
XTtNRQtcieLi0H3gA78wpZc8lLiUIHAKlqcsHGvkelFQflEM42fhhRhZWm+XE8DaQx1cc9Kwj+XY
2MckGn4PUDeeMgQCWJrf0nDMZzMKf1chzL+imC7WDDkrpv6ByFm7T1JzIyVv0dzAZUBYYSsj3iYO
6O2dvcme8f5IAhLdOp+nt4Th/FizEixru94HigxgD0V3WcHLwlXq5pemsWgCdupm2c3hK5iiZImV
xYFxSFiyWtfeSAIGW2YCPCvLMDY15Hh8oqavTnNlUxQgkDQCKyNiZk+y8xHZLNnnKnwNmjreBIRD
89wqdpS2fpeGymZW8nSzFGZagMiVCMq9ygsHe57hXvHsr6WMaXpDgKJDJ+h3ZcoqGAF1PbbJ8GQ3
Dc/z7rUlrPGmt9kSUwadv43Mnh2yd0tbg7lTpSMLceNTlUSMRkrI+AHYTyq/3hGoX0llcJGFGX3x
o3GKPfVD212KnculCNaZz1N+g9ma2XrZc9M15Wg8ZNC5u6aku0bk6amu6SXPunDvyCghJOHQOBAr
XOGx+I29CHht6Wd71N8zgsk+oIXKkr6+JgUtFn8uWDpWtprjPKUOG83BmO/GXGMhfjNIZKum87yN
GyGvjizUxhDI88iyJSD+Bcb1CaqwvuinR4TOl6nQP6fKPjbbwqj7TVGeGhaR/BKeC9MDOUgxTMC6
3rZBGONTAqG46VsfaaR0OUfRpWThJLdFt1VRcSslPbLurI2F7tc4Rp+6wrCfZJgi9OqnCM9kdFjr
zIMOUQEi4YFqOOzZ/sLUUnfdpFAgHbjaRZoiiml0uOhlekohs2w0h9tvKBhb84FiYEbQ3zn2OKgt
5dznUt9cjPmctVew8RQXsIQP4OIT0byP2qDJCG/cPqdS+TrqrIxM6rJsKiJ3rcz39EBqV2iFd8eh
eZI89sbhjLwPFUbcMa1PMj/EaqyPmd0x2iOGL8q5dgcnUYSS1MTLPBL1huu3c+wjHSMPMH+WPlF6
Sk3GqxjqGYnnyk9CN81WecQUSDtVobb3ESFWQ2DOTxjLJ/2TOAcS3Mu0jjGI2FMKQo8gfK+3D7yO
LKJD1Ee/exlTioigHEDXcTSyI3Wvb0c/AqVTm9M5GC0onW4dPcJS5BRmOi1LEIsedd4yThEavzyg
nSAVijfht4gvu0YL2l+UYJ672nPhNIf7QMyr88L48AH3L1oZ+Rc8VwvKqtVm6tES+jFRhxliteuB
9CmTMgd+huFBCbu/+Q3VlDPKJSuJhUZASCm7IjlfkHtJ3Z6KH/I53UwCqnqN0h3nlbzQSx8XcD/s
hJ2EbeCc+rGgzUufjGE683G/6bxeKtM/xlb64Dd5v5kKjtMjhki8QtlJvPaMhC75/74MSiqQyH1I
EazrAHoCmtcvs2x7tHsc/BOWfeZrbIBw6DosZqssonzXMPOdVnrX9H0MBfhir/t0JQ6AsL7TR0s8
w0ZtF6DowjS0aTaJ5Arfu1qM3teg4QuvHAdsNCU6/YxxTUzYQGFy0nI622l02nWwuwO0FkrWCZJN
X6zDtpTVEFfiTl3iP6f7xX/IIKU69t6e7VWWbv9qgeet9Vr7bm3/czQwbWGCdIkIcHUN0a0sg5iT
pPhIAuRULYgPgBJvBAlvtjlQzAwJw52WKSpobtAZYVN6RIuXS7RlAIBltk+N67BqrGETRKIHG5tT
asGIqbfAqHB2i5WRA+o2Wu/aSu01H93v0DfXlFmGbKDDcO0YHM5Td0tu64jTNt6nEyW7nLh+92hB
68qxv7J6D3z3vbO7ozVZ8ObNg+YNn3is+O1E8UcXZLeY2+DkQWShQ51zPdQC5kR813SQdH7Bfcfr
bzYAHMwZOuvNuEedG+qTyjA/QvdDw3HhOtPXOO7NrJYojwY3V8/doaCqq6knsFxRBjBQhDwzugzq
Efvdk3J8LJuGuWUf9sBRuj12bDu3wtSfPPM0iUle6G753deBu7ZlCSDZpJVvmJILkHW11dhCYL3Q
jbdWmBCULXmLmrsr2uDR9/ulDk/1BvdnkwdTdXY9V3/QEEWTgGiFgG8IUSSmRVOPTs0grCMvzRRU
2okqHTrijNa6COwL9x64BSvV58DtaTAYmxfNhnxBP5DKJBr8qqGc+2iltLst2JepI8aOd2nr5k6z
auNQhcWTG+AAqusS/Osc3UoDlotGnT/6XoV/jnivIF1/C9xHaL/RMW1jHKhtN97I49lFupkMK7sZ
pn3PbK/b9v48GbIQNOPcOzkhzk/OMDnGC2AWobJfRIEdITBrsFfgUZfmAISZlaDaTVko5udyt82E
SfGn7xHBtVpnxYuoDj6y9TZJKOAaoydtdLMH4HVA60n5AF2ntKniBz7Iol/rs2OOwCVnoJ4mV3z/
Hq9EE68Qvx9yFTuLpqQb1NTc32PW9ISbq2EXDUBVK5ME01TSOetZ4tTF/rnB0Ymzh/NeQBiMFS6g
Hjyd4QPnmDBlI0GZVUudtgYzZQ1AtX2urMLZer7EQciWdlF0yuQu1KJXdtG4rcPsgTqP8qGkHbQd
Bv0K/QaRTDjZxsJ29m5VX1rDcUyXpse9qUGKyftUOzRF+A2qhbcWqfb9QC51MtnE+w5SX84z7tUD
ELU0o4CJiU37xo5q75kzrCOshp2/7pPQyRwqa9vyFCHjrbq5eSCBFUn8kiwa9IeVH5vxY9B34l7F
6tyj1R1U5Z0oww6vaswY35PwNU7XFtzYh5HYIaTpoN1ajnElHOTgYOG1SBNMZJSIAjzAqbSAYD6P
vFIuScEB7iqhTCSS9rQxSWFoacD0whSjAkyGaW+jVtMOUfirqhXWrhN6v5CFBJrviMeKNNmZ3qVl
6XGHSEe+y7IYDqaPITI0xC7Jy1eDbtwTllHWu/ipDhbaKjvCDZctAR0HcRD7krM1nC68ZPl3yxM8
yAPjzCFnWGIvgyQX0E0YWcm/fxgaVRyy+aSkWmPblXp4hk8Mzmwv8DGQi9NIcHTN42TvUt0S5z8f
nApmSO/pR+EFy4z07UGUN3soqJO0Mm6h3Z4mgWyPD2t8mw8rTthzTiJosTaqs9nZ/XeYwjvN9+E0
dlfudeu0j9NDR/KFqG5uPOs98kyEG3zJoYtOERpuVjgUnovUy3Z9GxwTKmZOvHtzxNC+XyWpmx9s
+pXZnzWXPEFPKGUn9wV1ZUbTp88MHMV1kuaxcZifPWKAq2qgxrMx0mFvEwG7cVJr95GiKzei5GfN
lm9a5/oId7cKf4WlF5zKUo8xrErc8371a2rxZlEokZwHxLZYs/M7Xc4tASHimphYTxA54k3TMpgO
RoeZLPlwekWD85gnr93qrW9IJAbkHGCYYRBzedNgfiWTR90nF0oDyZIE0S1tOw88WdJjpvO/BNZ4
+I3BF06ZZ9E76fMgHYezKuP4KF0o0clHUyD8s9s25it+0WSEN3Eei42GsWhlZBp2EYEbwAqkf5ri
qn/CQUTveVgiVQUwLlSPI5C9g8U6LA7XhUZwkw5VdbFLnemF2OYDiM9wKbieD20VH/ni2rXM6Yjw
GDKUHW1NHXbi7BJ8CzrG/yEAgUME+NiULihWWCUXMlfMjzorSC/jkBcaBrWRdYErxdc3xEEDdoTN
oRl0AtSKjiiw03Xfs2vo9PekNFa9gp+iA/6u7JbNb4m6aCr2bKiYCzvmrj0Lru6lVPnPCCcIpofD
Wjn/Yjy8qmoYSBvCzA4JT9QkXxDF0LckbW5of4ziZvhkzsq7O8QHHCpYOTVjx4MAFkPAtCiy+BRm
nyn4QC9Gzx7rB5SgYdMGQrC1N7S7Zg94pfuwZwHxBgs1PcWFdzUT8MU9CF3pEo200f46oT4gOQxH
eqTGBy7qDGxVF2EnwacZ4qsKhnT1r1uf70XG//6j8flr+K9fRQnvLwjVfztHX3XRFD/qP/23/n/y
UAsppG27/5mF+r/Xbf7xFX6k/3atP75/N+E/Wan/9yf4n05qz/lLAq6xPcuanc/Cxhfd/27U3//m
mX/hqmNpYUj4boZp8EXzolbh3/+mu3/pnnQAMQCj1w3bMP5hprb/sk3PsFz+1HA923T/FTO1MZvD
/08vtSssEOeOYA0shG7ipubPvz6AuwXN3/8m/0uWNi0aSt9iITRZL1dgm3YioIQRTKDWbqjnpqA7
5KbNc9zmpgXYyu2WXV/ap9bQoZpFre9v0O6a93506mvrG9NLnXUQTwdqbbYNlytCHI+SaQW8tQ6W
TeromJ3bEi8UNQ1OuGQjJt+S1sCoWYZGT6PZxDSIkadVEyViNYEgQ0U4ZwrmYkCmRuxd6iZVNMp4
FOsUYRKfZTRq59z1/VthFH3HfJw0Fw6YFQa0wukXXWiTR5e286xCeskWQZNp34lX6Qcr7NU+h9h3
bwYFi6IrYhrAmhAhMY6jiGd721IYEQTNr6qwxTVirMI0wVj9PA5B/5vMsjenevrsW3NzFpJgZv2H
IdOMX6Clwo+MeslV3qb5OjPL/8Heee1YjqVX+lUGumeBZnNvEhjp4nhvwmbEDRGRht57Pv18zCqN
skutbmigwQiYvkl0dVaFOeeQ/Pf61/qWRWU8vlEOwcSg3XUOoiJYWrLwNkw4w4/Qq9px4dT44lZd
ApSbDiox3qEfaq9uosQL2OXuWrKdr1e96ekbnxdsH7poC1lsY/LKirx5FBUGRc4/frWXLSRkai27
zchj/w2XQfikBbX5MnmR91JOKW90j8W0W8Sy755SFRq73g/UTQVG9Ny7MVJoI9Ps6AB9fIscUlSc
jyW4d15L+KgxuEc/kdGTY+X+hQMtHjNC57a5HNKutzYh9L9nN7AAJyQJtsylh2dXWwmr8fhXYCn0
yNIRiCVEwOZgTy4AX0jFyb2pkVG2cZkbai0iIlYFpwTK1knl7300EQaiCTj3wqakUi0ww/YzHJh+
8NJtGIJKRAK8XJEAMZN1NodZZU7B4+AGGctaPXNo4cxp+VmKzgrQPhO/u9B2j2CWAcYpkLtsqzZW
eWbF12YaergjQiLcF25JifBUFN0zDYJldBsJA8U3FQ2pnqzLyapdCEcqcJ60dsQCHuIrYEilrTA0
02s1yPE6FKyPCoO+8GAaun1hxUP9ia2uM66+cnweIwZlnaKt6RbwZhGFzdMP7iIQLPuMLWhLvnOu
el1qhceypTRMRBt4EJkn2m0dEjLQbF8spPLJ5Y+qpSeCoxR0J1SIOYw6Psgwq6AhDy5AN1NG1bHk
A/QdT6zYqtivH4jutOuom0D8hgE9VRGNJMYUzEKFVWj7GNjkCteHw5K8gPaZcGDuMDrig/IBj5CI
Qr/CDZl1aUnEkg8xvUHxV8fE4VxWRfgaNqQqdPhem6lx6we7A6qVY+BfF47jP9VCzz4Cr1LY2Iby
o+/t/EtAK21uDawEkkjDwZKiuEMzck956cu1aUOYCxKO2JDc0d3K/rOqs/odOzXWmCDVy/cq8Al0
dXX3TbeB3E9RlV4JptKrjB8Z5GZU92tQCNMm11TDx1O3rmWoedAPLBjTEQ7/ZTvp2sofI+c9VFZF
W70TfWvpMMdJNRHgBUyBZT1yiuRLp0HtgzGT7nNdFp+0r5VkSgL/atpp9or1ASddYalFh83whxfo
PTffodvE1pDdNTeib6OvzHWoo8Nno82e1DU09+AjGu5dvMqE4jFVwkbK0x3YxPwsRIbxl8Dc3N8R
a898Qy6PVBnUwvnNui7NcO1CnvhaMilhG3PKwyA9i7Q2UJbGEOGSJ5B36CYwRnmlNwfTCaJv0K8g
jdgRUNdYxtnFG00Bnk13dkLl9luRGPpzmejGvdDoXORWXvbca+GPl9407WnFjk8twvomwdIGOzyB
0+MASVz88ui95cno59n/yNr0lodZMz+SLPXnJ5gi9mQ5JIGlA4/95xPulyeYjsEttpJc7VXrpxCK
Gt89/N+5GxH2RnUraJvb/7wlYWpxcXJpzbeejqdz0xFabQKwQb/foHhZ/Hcz4ej9+00q1Ir0LjVz
fKFFdmIjNOQX3NUeQQ/bxZ2ZVPnRDifvRtGGDks+ko8O8GKgGCnMTDL6VB3C1KA3OUJNsS3tk3VS
a63Bboi1B3N+32t9/bXQiRTQt16tnbhs1GKatLLcdHZp4HmogeDu/v0tjk7M3D/HVFpBcceal30r
SIErKjWpvIIKr1U09rwDcAIrNUx52++7kdoSiK56aqwDHZRSbHDWZSHpdZKmY9XYkIYKITEYhFlS
clGWkFeqSRZ0O2Y6tv0h/ooZq9jrjabxO0QpDhDGiE/BfLDRCf7guei8tapoKVy2RgcGfX5Jiigw
jiw123vKqhSYY6l/KgmsmPxXfO47ge9XpOqpl15xLGgT29amMeMicSnw+SFMM7ITNB1dftNqTe6m
kRoWDcEdg5MeH1lh0pDTUWkDL/LiaUO/5U33loZNrJmn0Q+c1eYrRSfoycNgnashBZ1sdBrTQulO
t7Tyyq+FYGNOrrMNsFZwbs8XvVnZD4XvuPRLqNIY1+5kGj/whDPVJJhvEbNLyiY4F8asQ4eOAWCJ
7uCdWQPio6xcgHJ/+8IhC/K3LxxD/8fo94/R779g9ON0kG0YEZBV/ADqQpFo4lzErn+0wY3ug8F0
bvbgYLbCgMhnmmgYUL7y52fdclL9RxDqVPiVP68G8g3iIUMrT7ZtQ1o892MMswWQFlSa+VqK56uq
gBqJgDtfak5UYBbP5quwMobkZDs2Lo+0kOFblcvIWZUimuEXmWCxUImQyxku6GitjN530Agn02sW
kU77FuEDB8F2qmKK9QzqvUhJeX4E/W0oDpPsk+ZihWlrPAZjgVi7JFNW7XtRzKlvL5ktsY7SnGWk
BurjG83Skx/g1SFvAo8xumtaapw5/vvNhPAXpnzh2wOa0//rmZARrNs6Ikv/MRP+YyacI/f+9/yP
obD+l//5qxT1p3/8l/8fxStFAFqaPMb/4/j/Nv/4Va363//F72KVEuhOEnHasF0pqbNELfpdrFLW
b5x4BeUJAAb+Uqwy7N8cQ0gXwcpkMv1VrDLEb45ju4auW8Lgyzn/KbHKQPX6VasS80+GgMYsZktl
8Cz5y4EFhmSX2Unfw2OeVsIZn8Airlu3PQwJ3ctppwE20mnscbWPGuc0TUWfgjTSUvXFl19etL9y
6vh3BIKfPwk/ik3Ck5dqVtV+OXMkvlXHEns0BICaXgEiRt1EZcvYE5f5299J2MiAf/6tOdUQU3Eh
ISjM73/5vVqJeGgFAfs8vNvLSYGDs4VQtHy2tHGT0aR0ObXAmZgHQ7TWns36gY7E7ty6CYvoMtg2
jvXdUzK4DPmbMShn2QdNepWuWpfhgIHHlwmSvzJW+hDm22B0dgaeKaqVBF2mmkSPm/8oEvaWnmPs
oJ3IY2lC02u8ft/OTWCRXuN+CzJn5UeBZC3SnkOG7QuYs9nTAKQHW/x6couL3fXwbekPIozVHieK
ZuFT9t91u1+AChYXkrcBhVVetCcT4uyijAjUlCYXjBTFmgo0CMAlZKIoYnk7K4utG9bbKI4IXTXN
a0ZT9y0kO/Ay+ntSq3IFkxjSF0VOd/bKMG56VEdm6vyeWIFzg3lApW53zMf+Xoi6u6cjeMEs0BKK
zMWLMYFwx2TyraBl4dkdT52sYLP1YERrw0JMyYNjVmjERNPhjNKi0eOlrF2fsefF0cZ8hHiz9yls
pNZUWavAMGYf5UweJXWxgmuuHjoJLFmN8KusDKNU+ZwTRjnVeXUfc4lXX7J10Txa4WxqGX/+MZiQ
oLr5D9m7QFsAWW9ndYgc3KUwHWPNKRwycxQE+8HGQNVWbr/1OZyi3JEWdHvmJSOC26n1EW3DSoi1
MqkywEqur0BzhWdlVtvAcPKVUbvVtQP47PvkezC3q205uc2DBGjXODbaFgCuWzxQnow17BGv1xxg
yRUip47S4JG3rmLoaUDsDSC8oMaAr24jUGZ8RO2R82z4qWq5Vz6BOTYsITcAKnzKLxrxt2yUT8oZ
1aJRaBAuUTN6kHd1Et77IPgBzndVcpRcRxrkhj69xxEaBqmvQ6dHH247GsuuhBtMDC2eU4KysuPV
wMAo/J4rtauP0wqLGQoKsXk/LL50BcXGc4WNo5t3fns8FB6+u95KTtlxHNpqYSUecSpSV9UE3df/
zMjhG+QDPYV5241fUIc/S6z/PqlF/PCwvTJqV/38BXYWxUlevS8tdY57y+KDlGD+Lq2NJvlGWUka
sPsO2v8rjE0qd2L0FAUcm6pTMxsXs9KbWeJZG+svoUtuLR2ImTpOvgcCxJKpOLt5/zh06jKZ8c0O
im+hZ7wmdI8GATnHWgWfP7OJtuauO4+kChDNeyt5D2V2GYm5hk27tLTqY361fn4DJXnJDJeUNKS3
nQ2XNN4ZVfRkp9ad0iWiqcbZHyDKV8OLbvg/FNlE3bB+ZhMppIAYXN/KWB8XkVFY3JWzE8R/MGoq
ep2ccZkHOGboxnPQH/ke20T2IGw5dIvgo51LzDJRkeRbqsz9YWJv6XmBTel/Yh0+tbYJFplX1+5y
dsb2YU5l4sUqlDo78+dI69QTftkGPMRtjPkI2D65LmKBfZ29atqrEat9Zz1HJd4cPxGIFSQiuYW7
bvQ1/wa16N7FmOYPwcHTUQ4a8IFNPr6yct/PjxSzrFhKNx3oGX2lm4SNY6/6QqjuBzbNi8XnIXbD
U0e4K5xTsJ6RndKR8KjRui8U5Y3pCfP8Ew7zi/R40UpBMYZLvTE0t0Vp8otq45jvBlEXZNMQjxRo
icUwO+N9XUZ3O6+9/QTJlRZBuAAuEst2ypv2Biku5eZ7UVSPXw26owhZ9WdyyUUROeBF7EtRficQ
dZUkWON6D3v55jvOSzfom5ocrhfp28i1l+bobgqfuGUahj+MgMfaz5ApdTcDfU/2WhjaPaNhdGEV
NyNqCJTKnScoUXDo1Cafhs9KOHwQ1bDwsfwaOnUC0ri3NcvkkcRyQDcEeorKQCDyYjUtX5e0xqUe
iIzwilitf0Myf8+kBjvKTL/AwV5aSfw5AutagBy912qOhnbxW+OnJ370g15BJCtb/AXtq5cBVDCg
2vThZ61P22DxexoWzanoqi/x+Nj7xhOaMG+NhR8OamUZSta07T7Nuo3by3dN176TW/7E6PxUtGSI
f+aGbSM+O5l561R3S32S0XHMmzXMHy6ucfaw6b3SXVCm/D4Z+dXOaKZFgeHF7jUSZt66AaC66LL8
5eeE8I9p92ksvv/zP318S8OM5ykH56/NX8yughHQlDoLfMn/YAhCGf6PJ9/Tx7ePOPi7X+CPQdhl
EDZ1ZH6LUcqU81r0j0HY/o21JgwBKZQrXNNg9Ptja2vZvzEWuniUbGGx2rWYT/9AYFnmb/x4kEX5
gixvbaH+M1vbeSf7uxK+//bP/6RheVJCcuH8SbBLpFFK15HJzlBgGTdK9tsZYWHgqfzllfm74+2/
fgPd/dNYSw97bkS+SrBZbunjJgt06onj/Z998T/NsZ4oQ0U4LNlBMF7aLP5whZOBsf/Ol0f5/6sv
j+7Oi4JfhnIB/jiGExvskh4XWWvIOZySJdbVBnJLTR9NYRD+6qK/KS1zuGlO5Wkig73P2Xe0i042
0aUv5gnAGgv6yarMYeVlBNj8SjrPEYCckk7HoBl6COHOeOkKFyaAR0Zu11h+9A4hcLh6fpB+q3O7
xVbbUO7V67IBmNMg8cPx8Fi8GW3vvZeqBWDkJXCGXeYJd+FXsp520YgWUhiO9xArG4t300u/3vhR
Fdzbrgi/l35hbVXlwHBVPBxBDgMa0T2LpA60SqKAZldwE+op0I0f/RB+NJZy2s07w4/dlQodPDBq
BO7iEL84KOw24crlgRZtyqmLP1Mcx0RMAogGyxrE5zEqCPBlWY2Rrs+Sg6GFHaviAl9vZyfJg0Fo
my4I0JjGQ2NCtlz7hqW5RJdTy1yBiOZ05BtaGW/NmDDSovYHOnDHWI3RqeyoXwQ1GkLJdosQq9Aw
hyTNtOzzdSXqESiDm/YQLwz2t/QtN46zilXXTpjpMu0BH+L8ixU0fFG+oZkVqWrVJ1csWlCtrAwo
gqsZNPQGdERcbDPsdCoMSINsoKMLYMrVhLGH/Z7zYXVkKliI4u3eccSwHqjXGLc5L9qza7Qyw5ia
iqch8Ys3MrcWZMgo1tb+1AiKWMOqfTTargJY4PGJVhn1vLiWbM4/q6GAEQborcNOftLZQbDdtckr
vYBraOyjZs5Wac44Pga5rkCAZBdyiCoDojZYLiLjEFPxE5kGLNQd3SjYaBVC/8D/04NeF/r0ZbQa
srF2b8lmFY3S9xYTjEhzARSnAV7rlWm6orw7ZyNodq25xNfk43p0a7NY6bnplVuts7r0PEj84ulA
HRFFz6R6Q8Nl+nQdKpyWvLPZDaxc9t6LtB55cHpTvbE82Hpr1y9pJBsdx2G1PXVjQYMDLq89vzGr
9klxkGmdrF6RCsxO/Njsghq91s8W+1sTK7dhroOUw9JSytr7cPvSfIDZmeN/pBWLnkUsqHTWF5LY
d+3D+XWdkPZ0d1L811NX5htulxmwGUAykO4iPf8gV16Yt4hy63VsBuNzmxD8szyBYos9AiCWTion
WOBwN5ceDI7bTLdbZ0TI6L+QtTKWFblVSknq0SamgaQbnMppKoEGUzPD9VtZxYtHMI6yHtZYF1pM
qEGcTN5E7BOQ+81kAGIwmf21xIyK1Yz40wcFMPqqla13cOOKYFjmY2+H9jPtEjjLRF5J/790ecW/
TyQnuNW2J7SVp6Xw2IwohJGudQSu7QD7/crk7ka5mcVXy5uw+jombtssJ2H4DyRdySRaZugeI9cC
gCwa55uY+pIiOI5jQ1nlH+kUtSedkiGaNiikfs0iK9n4WSMOwjL1L0VBEZwd2jNHjvjPaszERD14
RdmlS0UnijcC+xDF7YO0Y//o5f54riwTxV7rcgLG2OgJbU3gxbBUEGoiuXD0MwPCe+1ku0E67lYP
+eu8bWpQ7HH1zrvsfQxOhDkvSEKxwdbTP/t1ru4+AMFhEUHJOCaJAKE+DEz1QWO8haqdbp7RpMgN
P+9XjlPdqHBw9lIWMUgO0zoQr6eqhKW0vc1j3XwtQcdRjyULQpolUbE9S3Nx1Tsi26hERNkWRgc0
0InbaY1S4e5CrfbXsQuk5wyClVKknjWlCUV6hwtInHM+pKtkdPRq6VtTsg/7KXqV1FV8z/2AhkWA
VjcpB/E4dpa1megkespr21r3Mucy8iPZPZW0w/WL0DHNvTmZeYUlNfTepBE5X6KiLN4d4q/0pmPw
ZFNIIBG0LNANywvkrQM0TrUmVx7eC6nHZ1uz2l0QBtYFUtbgLLwsiq4V+8VxZev0RQY6y0Qv9YEO
eOSoHi1cvy8Bjoqryz38q9TH5ta0ofGjrIN6U7kRcEL0powZOimttdYL47XAdQv3UdcbSDyFaMkR
EC+zfFXc6Qxq9tzkAtBPvrdDhxv2Sexgrp0EagOWgLUXAjbCJZHbZyd1h8uU88pgYiFmA+jHdG8h
2+tHj8T6E2A7fONjC/QEW1gPoygG1QRdCxt0TnEhfSg9KAneQRLbErII5mvzh1IV3c6qhjC3UnY5
kSQe1EvM6mZN1beTPSSD6F9kUAbNyrFK6sRCI7PfYzGMvy9Y/wvm8v+G7FhiCTgJ/8b4/Nw0H9Vf
Mzz+8V/+wY1F8NUNU9cdiSj6+3T8x9ysftPh+iAsC9NyUKHMf5ub9d+EYc+6rsVNQtkWY+cfc7Np
/eYIofNfuq4wfronf8r+f14D/Ns//+oVsfgevwzOCq8lo7uY7Zi6qUzj59//MiE2WePKim6/LSc+
qALIN4HHcbV+mYaNyoZtovxr139vRfyDLCJVL/NxjpPxaBwKnIGzcDDjlYJCu4WDfa7hJXNzd/W1
0Y5QDIS4wpFMnpWvX4yYSE15zvBabwQpOtvTww/yYwUPT66tX96KvzavC/3P2vgcFuZM4NiKl1bi
hvnL4ZfGqrgb7K7b8l0Rx8360Bc46buQ2HHKgy21MJV3VripW5sj+7DV2iw62jr+EcMxgZt1xQEj
NyS+pnhvx8AgutwWR6P8As8PFKUk8q+LW1XW4BFpT1zGA/qnlj7Ghb+v1DgemvmPuNbqFV+QDi/i
nMdW0VgqYHapUgb3Ef/IUY1lSeAfDMlPF1+YohRVffA99+qLjsviPBaOtvaIRW/RUY4hRE1PjPkp
ILK9MN3iAPJ0YCUbM26gFaPgAPuaA3bDHLXT59CdKLKGFB0Y2KzxLh4a/cJX9gdVy8kuQSnq5/ge
NpWzQ53yG3Q3UnLbeOryLx6JP2eO/gHR3mhzGDCbY4FjSUCQ4vbwHsyhQb8mPjjNQcLKtMztEBbT
0aPHmbCiS6gmH1+ghd5KymbmUbm79nm1aqnnOxZ5heGEeAWOboDguuctpUgeitDa2boKL1Pikp2g
laXnHWuq1FwFHMdWhUglOI5IPxSw6WA+ikf6h3q3upDCpee2skBHplhtuiyGKhmPNbg4rO+6EULs
oTTKsJwnR9Uh/KaOkaom50mrsblsA/297Iz4uZEOlO2kfK4JbCzE2IGPHfqcFovB34EmAeXZa4EB
T4QoTdRSVtl1Wb00szXdE1lRZnuZTtRCSYxpoz590nKsY7McmRFBk9XFkQ7nYcEID/wiyHd6GV6s
gbyKnV4HX38ier6AL6gbMenCITtrOjhlN2LWioRHcrYtSZaKZ6J5OIOk9RmHqGvMNJhrnOkwVvIl
MTCHwhp8cIe427PYr04kA7tDhvgc+l20MommbY2ozyC+2cdR1NXRN713IsXViaIM5grHt49ysKNL
2vdU6cyxj6m8Do2zrTQBor4q15YM9ia8kbZLKPpCG+dAAaFmyKe7mpq9BmPUaqB/gfG5CwDCkZbQ
6gYGMY/iZ+JitzDqrjEN1hjhFFRGHLS92FeAlZhRSO5MJhmVYAlZEEZuV4UrUzfPLbqga9WUPvSM
iRyhxdL9qqmqX+qB86JysPVkrfxN08GqZRm3xFxUxnT4uN6JJOmbhBS1cOtkb1BbbjQz/i8OtYUX
WaArrDRfY3I9TwnJR1T9RaEl5BW0bI/R9pTDiiXGtGM1uNa5chhyqm1NQR4UCEgzl6KqTqSWz7X5
EBjWV8vwDlIScZfTdNZEt+a4v8UfvosI8dZBTg1YKvy11Ul/gaX3mbI5XsFE1mtngMvZXiqP8yKb
gyUS/efkYTDzo26fRdO4tlfuSBk93WxHLCI9fyFAbRUrCX8mqxdaHL23fg3pwipXtF8SociYpL1U
vEJOfYtrVaxsTaYc1xTCdn0guXGOyulB04653lZUScC8dcJFkHtHM3NeeT+5+Zl7oSu5aPvZ0Mxo
C+DmKQyJVZnddMgLV21AcUpfnWRJkW/z0mrcTuWgQ7vw9/ycBx1wCdCRZsU1s8srGpcLuGlTVdF7
AVBHT+BLNMlKhDEIjnS6pM6CqNKeJSynPpWu7Ky44QbcZfU1c3oomub43qM9cTfyjnzEBL5AGmJs
jH94zHmYsd+ln0sEr8nYn6up2uZ8+VGYJ+n1p4q1If0eqWaAedXVtCbRvB1j4KYZzyS60d7jjCrT
RL3TDfNihNXVc90f4+h+11wkihivOQf1U0ghNXL2+EVO16BO3mBOOtVrTuvE0uo4cLehjzAdtWeG
xG2g4/e2rDZH99EuNP6yvYgTtQiDgmOsCD918wvkzC/aMFf+iJuCZkBBjr/gPOgDSBrn5kiXGT17
NHt1yUdKezpMs9zGzG9ON2N0w1dw6O0+oZUPTh5oFIumCFhM5FVzSqUegRRRug31PQ8ADKYG3K4p
C75PuSHW0lkq+th2wLRf+yCKVwS2Hqnro3+11O7t1HxNG13t4tx603PwRSWZdEiUVOlYattW3F5M
3JwLx530lQ8sbyUdGJm9SRtP0jrbduLhJ2v+MYvgSEyuZ63dhox3lk6gDKaHCeoQeAmxht/ZLwP2
FnMF8hm9GIskV7VeD/cxi4BoAj/0UoSBKsDZjg+Y4px6AI+JMyol16rT8ygIPoTl17qI5KqIWeF2
ZUp2wlFbv5zRTLbtPvb5RQ9caNlEh/ugbraSiKZudPYBXNKB+uZ+rXg0cMNpF5MPJTgHLF+74zXw
iSd23Ru/ZHum509s4qpP1rSFTAvdij/BsBsrr3Be0Ws2ZZZBMsxaMIx4vzj7X8D5HNjQFZ92/W4k
FYGNEnmjKumBa6J3DoVrp5YWdSP0c2gkMoK07qjLsO8CMMtCAC9bsEbjkmntYtuZXn36+Qeb83UY
6xHRtIDcpGIRB2ANFjSUdbdKCJ7SFrgQsC5Aglo1MpLWb5tZ7qnqtS2SaUMwq96kDsQdQgPGooYA
TVZh/oC517KDaOP42VfTj7gLh+0tGwgdBIPL+ZBPJopmSHUTb69rWxBCKA/hwAigpFym3Auz1uWL
gtJtMQqXgVCLuHdfdHQVPSFtL9COuP9dpGkToVGcQU1AGbRo6jbgHP3ap2O265X2mpvk5IIyefCb
/EPTCmYxeRBGRoO5wiBcq867xlV4cpXYBZNNAy7h0ZOeiXZpJ+wvDdS3lT8UxjpyUm0ZtN497wAq
BWpegNsNhddp92iPzlPQ459vKGmVORskabs/gn5GhTgzt3LvWBOeWtd6qvzQXIGuzqhFz/zFRJ/v
RvtIXJ64bPN36UQMpuUMu/O89DxqWb0N+/gh1tsvJkQn7kE99bt+eqnbkfIGYPF5ERTcFyqGt150
O6LF/dZ12+cuMi50pPqQVCxrWw5PZaeBfLco326aY0D8ICw6tfb7ibSf3t2llcM9GgQk2yx6Cfs9
gpC6MFvkZPK2JpQAnn6m2lNdtoip/NlW9KgWBfUmtP4s2XQfACR5e2lpm7F3mHpC9shyxqdO5dqx
Czp6ecjgX/haOJLH6hQjnPT6qrbZUxX9YzKSUdAtP1g3KThnKLrrzuYlR75KFsQq0y3Uzihhbo1b
/2DH/acT23LFXbtdllQ3r3PLNR9dp7w7ojsLUKJ3dB/r4vvTM5KfvLUcysHKu9m+SNiMJiNhbMLy
VYwXog8L4pfWGVfdmkobZhoDXLqiazWQ9m7y4MqASN+mVPqsInvYOB6rVAc/Tae3AH1ofYoM2u4C
hqdM6ac2L81rFDdn2B3+SWSaeXXNnSP64Irlkt+k7gLwG8D/gkHfBtTB7b2e0oDCieBsjJypagNU
it6b5tJ3JviASa+vrZ+NDpXjHOPcOFhN90oobBbqYwYgsTDTlVIwJyogL7jIz+lPGjmJ/CLczcmJ
B930uwc/4AlTtFW0d5sBGHaZBRvXMzv06jfS7RZ8UVVeSPAEG59X9Z5GCoJF1KXb0uHSiQbze4Gq
F5sgnFs2Nxe7hPPA+sBchXk1nIcsGM4TP9gODN97SD/cSAnev/6FpnMHwjuxhxYDlpK79ISMP422
9kDIldFtoH5HuuV0jIesW0Ol1paRYWQ7N56ew3Fc1/Fkk/707EvUQYJhY3sviX49JBbFxFTBl6jQ
zaF1nBj6L4t09kFPdcDJxi5o3TSK4c12zENnqPdUdOmeZaZ1Mt0Hq0rw+PSnoQMq0CVjucgdkwux
6d/LKXhgRP9Qk/o0qS6i04RyxdD5rEiXaDYUiZqc36Cbh6lW3/2QVumypMqu9bktB0foAxQGEHJY
NFG6H6M+WHpuu/FNA5iA9T5J+15NWb9wRweYDrKiaXCSbplmQvkYskpbNSZlr0bJxp6siGzzS1MQ
+PHoBGJPklB7Sv3bW332+p2mD2vHIvEejNdW8GzUvhARS3apsAjnjfXTECw0wSqY2ljuGRJqX8yG
RfrDusxQjPzMWydBTtXgQAK/4jLIcR34+HImAu/cj6Ovysuvg0USmQaSVTiGMSeZFJJOBX4+AMeu
tVvX0d9sXzsHYePeMHutwDLBYqCmaVHWxrVXBBn8kvRcyRS2b/pkQ+5+VRNveoygnYARR+UME4wf
Vk0JK3nI/BK3+qrRvHJNYN9Gc0gfojjIz52vc2rUGkZ4LkLg0Rloa3f6YRW5v00ImSxTXCYbTY8/
s/YVfGl9ivjNXKPU9nBOgKqSVVdlSjDEiDdm2a55t2acEbboseXf6VoqNDn1tuHa1iLmKB4OJeGJ
WXcbwPDV3XNSYrzJkgFEeyTLlR9K57GOOrmxItrVzDYSN1+Z5MG8kB1Z/WwbY9DSWLPirb/prHJ2
cdfSxSu9nBriN0M3RX+aLJ2YfzQ5q7DvrZ3KR7F08G/jXMDmYa5Z1BySOjirLLAXlTVxUKBBbJrW
IJ9chPf4amjBWo/I4nOnXzVZJ7fRdwR8RZ3k0QsoDK6nxMSHpnE00Wp8NN1KZd632AaU3ipzN7XT
90lvngtXfOiK0jvn0xLNV6OasdItAmjKbEG9w8y5c0AJIDGUdAtxboguTpSs3Mk6lZbYRE7w5IGK
X1pmc4ekdumchIZb36sAe2ojA73EZtJteneCMUxubVn01X2qAGUVKRyzaEzo9y2HCStPnNIoxElP
eiM4UzflXLztnJzqtgAcMQXelGS535E9g3Oe0LZqNZjMdU3KnV5QjelTFKuKcs2dvFmg6qqVVxvI
MQmtFzmY/C5uvnK2gwVvNuOc0PQXWAPd7ZAzuEQhuHBpDq+5oIHLv2tV0wFl7mic8WvWXCY3HFrl
CVH17QGQmHssYcCvNOpplxjIqiMtuYs2zVBvHbHkZfQWlRF/dpWxjyCppDRV7ONSfEkpbEw4kHL5
meAVgCzalnUV5Skch2rr5dTGd8Wq66admwCic6r26npwmsqJ4ua+fG01dXDredIadVgX3MSoFPvS
6I0AnVjoS83wXzz3RwkS3h054LSahIQbBpQAlvINEufjCB5lSfFlCTLahhgcckfk8jZR0Bb1WM6Q
aCrqqulYjR1HxPjcFvamTXlIC/w+TlvMSUtv5frZWWjVpgdbu8/lgPOHK9rPytWoDVtSDk8+wIRT
VFvY14S3CQdykLFlaidDPUYZRjC6XTVG+vTEWGuk5loJG/RvjvVG5gfLTQGIVtWVxgUF5ybKltUA
KkkEIWjZGMqXH2HZyjlvKGHS5xK5d2aragloXXAYBr/Zh3KttPpsjOF5hCaF8ljebMvAY6aS/8XR
eS1XimRR9IuIwJvXi7le0pWXXgipJOEhEw9f34t+mJ6OmSpZyDxm77Vdpg/cvmqWEY/dsHCqtTK+
d6pZ9Y3lkWWydiNenHIrbh7TuXp2veofcawKWW2KG8BzfF4xgEVtP2nvIIo+hKIn5JxiyDZx0iLb
MYDOgW90F+2g8ngGLRV1iPDrWLO1SXrCTV2YoHu9bo/bo+53dn5oY37MFSbknedo+bl2VsIdJ/nU
OcMf1XLJeyXbpxhAo13LNmDfyfrWPnElOmeYTq/WtHT7pW0eu7q0Is+h6Gz0aQ3W0bvxaqQhM+b1
TI6ucWQfGNmte22l5EkV6/eqzLFfiBiEr77TjOal6mKeE9zGgUI8MbqmYlebBev4uhr29fTHW18e
a2nEQWJCudHXO08zpzOyxKeVzBWAK8UO9hzUyLr48QBwPur68qUOqvpS2EoTxVNHIyDz9c7kmw1Y
Ohdh2to4KR31q0z7/gLn6cCdLo9y6EhB8FTlyNjmocji5T4x3yB5Qxgm0SHoJnjgQ6Uth9yRJEyq
ZBa0hnykRHloO2+GueeON2simKNduhH8ks5J2xYHw8vvoL66YZLBBivBmrKRvS0tHbqbZU/TlF3M
NUOGOBCSAqap8JW2yIEaPlf5Q9pV6cHI2qemma91l5b7PF0jC3gKM5SxZLxav4z8GcJrWX2Og/nR
KWb9yxwxbGfPPQMxB/A6YyZna8dBEPLpqGQGy/ALRD3HuqQCX4sZ9rvQdi0DRFXrvZCUTitq62wN
WBO/aqkZqYy8QpttOCO+lNuwc+4LZUKgWTQEtSkCsRUbSGz3HhE29nPCSNsn/Mu+IkPwZxvClwS7
O3XoEZ1hafaZk5HVWF3cktjoASQ1CzxI1Mz2dnOVvC5thYis5e+6RRtHI+Aewba1WXJCKuV1LJx3
rxv2manzndso5ur7PhHnVhseNQpBLKmXOUEGWB5YcSPClbDAGSkqY6SsKmEW5FiaJmCcQs5MtKp/
CiN7SFSYpuDsE2RmEDFQnJele2zHB3fgteCvULFUvxRIyM7IFliYjxcrlxVjVdXgl6LyWJFUKfQM
Y7tdfRVZ8Uwf3XJ6Uh00YHm520k8rgJ3NQWfgIRjCxiDiO09/7dD7lpq+KN1wO/7wcsZKEzR9lkN
G4p0J0zjFzR5vNHmvdnByqZoBkicFdAUDC8JZ5tz2nPjSKffy/kpgvkBQ828xzsWqkUQ1cyFtK0E
Zmd44Wd8T0vr8gEomfUl5T5V3OvCsmFezGdDGcj0yAxUjC625tFhE1C/KpX6DAhJAwx61itxMnTY
WJbXU+dpw4ejKj/5YP3abXueXaAO3YfpcgTDZnjvbHW/WrHHCTQke9Ga35P+2tnaMR75+axE3C0i
UtLnvnQU9pNaaPWcw2NlXgekP7u9R9Of66COhkd93mu9FiUmWSFF5d4ATNNYQX9kx8UkjsnnX6cu
LUNesmKbV1MjiMBz30Zhnw1DJ92EjtCXvXrjdHvuyn7fo55E//ZgwwihoO2I1ttyaLlP6M4hQXnb
rYt99yde3SoYAGT0lIxh1iPFoUAdyEqvp3u9y++8piZfb0uPV9W7OM1epWT467LXQsaqExouW8S4
jPjHcn4qXPNfLjQ6Hu/S9+ItZzDLM3FxWu886O2voxU/pjvWQSPFDT3rm5Oau1SOD0o6/Uopr1w9
f6Q4Z+TT0XzWF4EENIJOh3agLvY8hcxP6pDmGqS5B2NKTScI5aBWqxk1i9K8qglZaEJRMoqV0mY8
SXRM7Hx6VqwHlbo+tsUmL0DcGZOy7CuFnYXzEJOeA9JwFw/Mgw1Lex+K+LfsdYpBa/QirSHWlJZ8
Bx+0jVSK0mZ2gQfCAKm7wWAodc0sHidDjmYgx/asOB9dP0zn1gF9kUoZeE68BuiKyrCs7M9honyx
3PzYuTo6lH4+4bngmBRK5OWKDJdO0Y9xujDUyLoQWc8bInaq8rKzAj0vAFtgJqSD3NqVd8ISzFCx
kXYXrlqF0sP27wIp3sU9JPwCDkhopspjXsljBwCq6Rmtagu8n5m+Q1MM7ZR2i7kzywL0x6D6zMJA
qeS9TdIPJYcOo5A8KSIYhsQ8CSHUvTYUynGyODKA759cVeGt2ryMyN4DBE1m1IwgoIGOk6UOwnID
2V61NA7mrjkbSld91MX6tHjPOZbJPfKDlInP2IOJUmTAgp9SsbJI+PjCypAxZogZJRljvNOcCepT
+e7hR4kzLUwEWCahFr+II889EVg76w1egufHtNWkDs3nodFeAZcwdmt4IRvRHWYvYP4hke5kwaq1
OKfjSaA8AMyCUrE4M9q5A9ZlHIAwMWawYTwNrPKbhFumbaaviZmwY3KOWvMIm3POgmX61iVQb3v5
rtEq7U3iQ3Qc+X7WCrqHmCDESTF/rdE9JG6wLp5610p9DsTiEOJiODotnHgCt/LTkKT4UDTqfTqb
FFkzQU+4VLRIiO04rd1qX6Mq3ZGXLf1hGXYuYI3X0TT/xmo+09bbV1Tykb2YTA1hbYN45wsVFABR
sQjKi7gCc1KUJ5ckuwe3yb6cqtoPYH13ikEHnurZ09rr6p4lqzxNjAetyW25lFKYOEp80cfm2W5x
DTSqW2wMfWJqAB97WVwGaVq/x1unY5iut4vb5Zcb4o5BEumkudcRJiCrgHlh1lAsaMrEfJGn0x87
NawRpIeKCU5aSaADriqDz0whU3lWsqBzWnUvJ+pSbSXFqsq7e4Qwxl5PgoI04bspab8TJPc0lGAD
p5/cLtzXYsLmQjoKI2oGaxBARuh3mXNBnAWqjdQ+MuTNr5LNDjK5Lj1Yc3vKyGx62KKN0lh7r8vc
DunINLa+VEDqAJqMFI/oH80CrDuP+bFQ4RUWKRf+wjHVa/OhJVm008R6bIzaPGGPAF1Wd3eGPQ4R
lPIspc5HNLTcuRzDoBurD0pvG9ZeJ5/H0aGXKmsu7dmlDiY+wWc0cEXQNV47+nyonJUXZqUaFMgp
79I4OyxrjailaTY+B6nbMzkxO7nW+5FMmgBYzJ/dc/Lq7quXCQ8sOqGmg2gfaDgfimLjDpgzMj0X
IErpd5N5T5JL/uA4dDCSNLrtZQEGXMPaVfLqnzcIaGsNQUVACU6I3weGa/1jQRYV8QYG9YIdDmwt
Lbf/l3WlfV5jsOLZ4HHUxKZKoLkGBV8yMo2LkSjYeIt+SV8t0ejhUi0/dc4isOEsPwlaawquFLpI
kz4ZcuKPc7H4uYuhK2VVYSPdRk1IE2BRv8A44VIEb7b7P0NjlhBXNHNfk/gO9yAlTpf32JfTtgTe
9mGSaES/rOvxlLUzAn+0FNSGxXpz64nSvkf7kzG47WGihp2KqwUC67VMwK6uU8qKjpkRKMx4V5oY
Eyx2LD4RRyHSipVfbtvutVGKsDY7iyfKLCJw7fZO/Vqxsw0QIvLBNa5GMqyshnCrw5e7B0B7Z4Iy
OtCKMc00vCwYNNULq2qLegCEk/TQBh2GyggSdgVrwXGmNq2L8eblVf+YCwfWu6M+j1WjHgcoWfss
5UBOde3FSNlWms6fM8MznWvlNjbkf/Sa+urZhbeP+YCuU06neJ39Ea6HDy7kPV/FtUuy/AXSKqEm
YngCShSftBLQ0lhKavlBeQU/6p77mvVXz035DqCODTCASw0px15RTPlo64l7Ni2ybG2Lenx928LH
HNe+M2fxU84qr5V1W0ZyVwYCZQrrzqJE8FXTuPHfVzVFWLbgYkJtkUMKcYNGV3xV54feNHCsdKa6
sxc/WtJ7AHaijOY7YSb7XNaeP5IBZ5o9pagBMHeLL6vt6dQqhBePlnN0N7zeZu/JC4xP2U88NF9Z
8pf0gCJpMi5m69zhlnmf6pDwGAxbCToNfvlvuuU95h4eqXUh9TijyTS0mztqpzaVZ7VGBjtsZoyi
EedMXYmXz/6AOr17bMHpcP7aNf0zOGBidrkEVeYfXUdZ7Lxrub3/y1RGthZ/Ws1UN8hb9U/L56MK
xt0BOOuRa1YYmwlGc+9ogJ4nFQiSh7gvw9XXz0/zJ9wewc29YpJqH3Rh71coh2ZTfhjsyHeLPjXk
DHOf8L96Hbld7vSwYgjLPBQTowszvF1C6LKRudT6GV6Q5ifQDK6NWqcPXsuMSbljU6V/s+W9soUw
X+Ml/1t6dCBeTm00Squ/lhMkFEvMd5mSIxuQy34qE3aeaHyexlTZAJ7550hf7JOGaQeqBBI01057
n2u2dtFmqJcaJpyZBi2iH+7umVD03kL+Lxzlc4UUcs7kN75M+Zoq1sO0flidVEMStJtgyNA7iKnp
j7NWI4k1wTObWszWT++CUi9gRZiivCbZVB8ST/uGsb2AgC2IfErGi8NsCR2xdqksp3vWOHkwQKAe
70XWBfmMTHFttqhUD3OBUihBMfRqaEHEiuzE/Up0QTiSZgNAYvVebGkDzsCMYbYm3y2H1J/RTkR8
3daJNJvdqhT6XiZt1GODCwpTHHpEBNjPWLwvDZgIOyUxGsTV/TqZyX6wkatXvL2B7Eok79veY9GC
1nY3la+8U4gQYOlIFbrJ0LtYn09q/6no6r82raxABZB2bkbJJAjHqMng8HHMzddkwls6tCdRoL7Q
e35dnkiPldPxZXF+B+ByYxiRccTjql4zb4Jxm8gTQGBfoaX4gm6KNXdTcnrdfsSgyxR4pdSrWPiY
FcLK2KAzlSV7t4qTy7cd69rbVfFsGfJUzmV+sKvSh/qRvdvijzEtNJ0tdYIwVl45MbAA2rqUKXnP
Ki05YAZQWaVgMcg5RvKNtjrQJ0Npi1F/fujxjEZocVPorGYXKfoF/wNy4jVbHzKhkpq9MZtrAhdy
F62AXbXOcXImJxjgvfHaTvvR67XT4NBMxrb5gOSiP4+L2UZyzohZZlTvaStQIho5FLWkTdOaQRMH
cotQmOQ3fSGPLS69+A6dgnadwXp2vQ/kc/3QayopU3P7O4oJ6MI6vaBVJ0w9KVVKz14ueuqyTV4M
5xW3bH1IpYBHz5tVEBL6OfeMwYdx/R1zYp7H4lSwfbgMXp8+d+5IpEHrFHubpAzk1wLz6oKMJMuC
cbIg+Cf29zDx99t2K9aIcPn/H6s9b0LXW7a4YPTKRwo/Zh/ucpiQyvmsr14mC7flQhCANhB+NVCQ
US5beSkCdL8wShKPDOzVwfUH9QMX5BMhNBRKhWT0wDBuHJT5g2kC/QYf0HOcCbWPNzwt0roYFkEV
zDk/7E0psZh/JY0r3mAEGNpnPBv262Qb7ASNo2J1a2R76S8XrDGgQmil89fEFlpxtNU79r74FB/z
dHPVjM0PMW+MbKTHez8R0+0K5gbFU+NkDNXWY4zcJoI9rx2seIp9N21v3GgdUfGky3tIqo4sWK8j
a8aTOfTvlTBJCtwEhY4rnoWZkjzmoiExTaK5evGbGPKo1CAdSWFPI70fHwrF1e+Jfjzr2G9Qq/Rz
SH6IsS/0izm6vwqr1FYh13OmEUUZkN5UhFcsL9Eg5c3A9VZ9J7Nzm1WCYRbGZZe5PFnKErh1bl3c
dLyNojtrdvyub7E1VZ0eeGJcElp7TO6ESuzaLT7W9U4mJSabkXg3gc4KAIvVcHsT/CWkH+CWOmsV
6cmpxg6RCwGol8YaCr2ao7Moni1oY6x9e19xqntrIF8vBUXji+XEJdAAf09/iRnaCwNrvZHyCLEz
UVng+FrmW2nx3ZU1ENtVaYJVKDNW78ZEvgNDbrBLUlIHCL2qKn2XkTGNSqFH4JXfoUY2vsC6EA1i
vFe7mIC6vIXOOPEOiWb82rztUrylQkfBaBlRqZqLvzBx54r3TL9tUWeDTvCxwcAP5sv2S6u+raX7
T+bjK5ryaerXPdtrb79OnC88fpQACyKKVhs/pZYvYZzM9M86i/akRsCVc28pRL7R9MkbhiFqcods
mmo1/4yUiSBCRurDVkHlRI011TrZie9EX19awhilfBKAlCkdt9RaWsJqIC9lLR+Uk7XAIx7oiTWe
oJ2paF+O2rwZ4qtseF/tCuA0hnC/kVj6DTDQ9vieW6PqWzkSClXYUdomQAmSD+1K2hUjDFIRhVY/
TQYpcGNjoLXs4Qkt2pOlJu8o46bAEn9DUY9YU0hfYXd3a1Ey7rS6LcPM4mbJEi61wnkSav7R5x65
FnsENGylRPvXTwIjOnzVGU1HvxiY9xF07ofZfJ06a915OvldKoOgaqForg1D7GGHR1rJLqbtW0bT
9icLuT+DxcQuz9kxJI7znTgVmzJY+Ot4GiyzpkdVen9m08zIgoZhXZ/aDSQ/ktHIsuV7TZltyLSj
xmcnV9sscJWESkuKSQt11TtDq/6nrN57R7+7di7BpgniynEoHkvLfG9UZoFDgxRjuZAx+OSsLgEk
jbfuyQF505f82cITZ+h8ZmdCyGsnX5PgrRnG5WgXz0UzvyOv1SOeN6Kbe0aKa8sBPIK2QIyRMYk+
zC2F4rASnZHZ9jtb3pz58D1faKAQDRE4hDp5RNEtiVuE7m6xiyVExsYlbxM2DarzrTLqCAz6ePbG
JcwzNnGLvq/i3rz0afcxodddrPWO1wMYXrgkM7o6VIEsY0ifdPq3LuVRJj950dZvfpcvipX1d0Nn
fVfMVMnRaihae4z7WW8EI7LugHVPUAD0LMifs4gfumMwTXcuR+++Q4JbsA7Xq2bBk81W0t1Susn5
XIiMiehSL11cXqvStvzRrnkj55uiEvSe1DutbeeLqwyPwB07v82tsB6X5MGZKtZFJHkU4o9BvLGb
GAdcUPNasp12YtUqv2h6GblzHxYJGqEizq6D5f7NaQdXxLsp08K6UpQPKyUxuusGHRhJ9CdtLD8J
jmFST4Hca6lPKjRrLzBcSW48EM30MiUj1Az92XCbPIB7H62QRwNeeW3TMZyMzAoNBb/o2JfAMoX+
b0LNUyZ2cptXABuiFTs9GW65aj+UPShPxnykb0/7VYzckES21cIwmTWVpw5zPS9ZkSMh1XijLD+m
+LxUxKu3f6mgmQKQIMMUtR4VR0qoFBTGNV9PaUZ7nmU3dF9fszXem9XZZfHm68wcdvoWN8coH7c+
Rwv7ndAs0DE6KDHAD1+Tn9FofjrZ5fd2mv44PSkZFuDdziw+3NZ9nlpOfmUpAI9OyzlhnJYJjbll
jky6PhRAdffsZx61le2bRXJXMpI3RdG5UOMjRLJgFreMRTFMk5KMSdGld2kJTqG1cMmJate3Oe6+
0/xB8bTnRU9WfGacVMum0rZID2KMOSTKv9wb/u95cqDwKMCqdIRYTlo8b9IvrpmEQfk9QZoKi3L1
MCnZp4SJUkhnjkwGteNSPDSTA5500SNiFEiVxMLK2EP3wsJ4jft5Pw0odjpbMsoiWnXXT2yfx0G9
qDppAk79niZmyxONL9/2qgB0bIbCE/D06L2PRbhy72OhsNa9mE8GscqxYhpBWeBI7dPizczwcDX1
dc08w8fsycs0daGxxITGsV50gf5Hi8QCygLGr73q1HVkYPKn8eLGn0h2OsQWgTubJIquyW7pm3uP
2JvWfjATTj8+xlVIpJ6js9I59P1zMSATaIX+XLYvXoeniKg7r09eDUxjp6o0nCDpEIETzV3fkzL9
QJ1rgsGcjTezY3vHwr4VJKyh5UKxsGUSt1I8Zka8XF2rD4eq677qQUX1Y0OdcDlqyJlsl6iS7Ffr
jbbcmYKQqsob9nDUnDPAlDmg7GA7v+la8IjHvKItsYFmOnyyJz2QD3RooAGdkh6opJpW3KhtwfJb
bUZ/aBoduRxXrqnbJ1lbCHVJhYxUoyZAszNfO6sufdebtSej/VTVnL7e40zwWpVbIyHlkX0K2l+R
3mzCxg62BujUSDjvAO+dh2xOz6RZXgzCUc1MwchVnDKEEIEpkGOiNDID2roYh0WTXJhGfSLxWZ/H
nIbRwkwcqg3hL7q95dCqUt6NsQ5GyKDDqkTP4ArL3TRWOHvmNifngoslqwB8qCplyqKYH21fxKR+
zE9dDP5GCjE+rjk1qutuXmP+LSkt+4IGk/ZdTwtCqNst5MbotuhSMmsSpqZr/VdMzBQgkX92mTiQ
tKvdJmyrR20gtkwq9UWz1ObILyi9VqLhoSWcb62GR2NI5QEf0bOdMplI3A51VIWcAA9BdiZSgOSb
iRYMf8dOYaAZCa3wwvi9cJ/6VA03NcTE0ppLcwg8a+FVGLRdyuEd2fVTvZAEnQ1U3yuTbIzfQU2f
4RnzG+E2yNkCStg7J64+jJnubO37P9dAxKP+lXF6agdMAbPDy5Jy3+6FV1/RDaFRNg1CYTBXdGV6
zrQTjyeLj4weY0bmv+uH4Z3+kwhPQUUp22uhJH+24V4ghdCQJlyAzlwi7dPNl868OAicnI46zSo8
dDCT+o1JDyDjpN+RLYHkglPBdTRWBx/jirgI7PV30Wknu4NEAOCETMo8QflV4D8uh9Ca6s/Gp/dh
YhT2Foaf+DUHIQL95N0tSNazBBek1gTuv6RzsRvHx7Jf8aRjuNDWL3uActKIX1UwhhCtwQ40K/bD
Ymp+TaoZX06ShRoltpvjfcVXQwBe4R37hOe0KNkOEJXFlrVT8inwqpXbk1ban5VxPcNc6qHcd4KB
Yfc7V5YIsjEx6VimKgz7xLSvgybV/ZSWPyy6jNg+enrFAMczTp41jLt1gG1Eo0fSmxuTwB5jHzPM
wKlG/Tqqphvxti0hHPmwk5n2nD/THbmHLkOel7FpDAxFfdbFwMJVy5GXaAlcFS8Nilaoge7qaOAE
eIJYU56LqU5I0SZUDX2/FZBvYR8IfaFVocmHSibeinE1InsmNES1fuxNa9FbaXt0FjNsW2weOfE3
5Jr9OELYHxYWWdb4qJ4FwCj2vs6H2yvlSXfkFAxFiQgVGdA8Oz+qqabEc4h/jZtOD4Vb/KZQ0vfu
mCCaxJl8to6dlNmNGc++6D3tqqQJRPG4R4DqTBj+G+0tW7bK4GzOdX5XK119NwH0vSKyxhwD69dk
66SKM7Pc/CrthHw6gJdTl/fhaNuntfDEQZjGI98uXVnLxJ+YAJLotN63u/HdYMzZKcVtttSXqTAY
LSnYdGvS7TdxxdFqZojbd47rHKo6eRnr+26Jo1xMtGodEXSYCXsVBwb85sBx5eTbKdtB0cUvCSnZ
u5Ry0C82DatVnmBJU5ABN0DK+qCxUmFTwpttYZrOFt9aMpbCIntOJgwtcvLeEgRtfaP9o6KqIl3x
nnoE//7MgImLPDtrTTuGgO5hIffWATwZoeWwHW5O5h1YOj6uSfJZSJkyVkBJt+BNSRVsTc3AnCeX
fwk5wwpamKCQOJ3YpOD4YD9r1iufnNgfaTOKRx94cGRzp1fo0HFunMsbzIqawTf2j9JOwwq2WTBm
ax5YWgAvPGcDHL9a8LvxBgOOpRBzmZP5hoorAkiDEknpnnWVDXODQgABKNYH1ZejJfd10rwpsYsD
r57iQ83wZytx/V75XeKeHx3uOw6MjaJV9ltIPNIuYifNeuD63v4xsn/uUr4cXIK+Sd+ELJsuscvQ
+thjxaWSg8SbPLHf3HphP6NJtbz6q5tgH00EPe8St+p3om9f0hXEtYeb3CmQ+KONTKJxKj8m8PzI
+/guGUZ8OgoKB7F6O2LCIsVTzxDa4Ko5z/rSYDQqtQcwDae+x6GwssbJ71Z6AjJtU3s/JOV3tvxg
b2n8SVIXTkOKXK5kdmEd+wqKCbFSv9rQXjHWlWy6KvYnU/KowLY9SE2exhldZRaNzPaZ8nk9D1kD
qSjVb4QlIAKMBdl2+KWh3XIwDyv61WS5x+LNL6gtYScy9PTYOe7lIDCh88RRnv3Civ00zYlyokhe
UEQhmMJ3qC4K4uEUcX6xitP2H/Yr2KBs1pktG8NmQhCbwOSCohITvrgb+BrYWyjRnN/NKd5ZTss+
QBqo7kzbvZDUVRyh6CPb0Uw/K+f6QrFMO+lsWkvTeaQD+SpJ6oqSagqoIJmpU60Qrwp9gPghV4vd
KEX1Wk6A/UfjSR3qE5YYQj31r8FU7oZtDume9DxDDD4bh0GvVAAIw02jTWVyeG+RNMRbBZmG8Feu
r54LsFMaFu4mggI2aGZI8gKbj/U8QUpr9dd4JHuoNlmpqMrKCKLUD0VOjkX9b7Hi/DrHan5lQMHN
ijnCF9mD0W0Dw6WJzHhmWU8tFxgD/s16QZLaq0Dca5aY9E3gk1tpLee+4LGK5VFVzZyrlFqkYtA8
2G/97IVsfiNhExlMFYfTHXlzjcgX8d5WUuuP6DkJrSPSWDpUhlm2t8xERcSWfSKmefSagQashF4O
0NlXBt0A4aig2XRDrW9XoI4LoEOXwICGib97w6DttwocR0LkEDm61r6vSWlx6qcUBL4jWfgB+zAI
maROlujFms9s9siSNFRkmzVjiXWIkIuDTYgl6bZSgoiBTcZPjXAut9O/jYYfXiO/nViLj0m6+O3E
rLYfeVIIhOdxl5eyFW96Mj1aKlfKDCEl8dSb27RPDqNC+PWPWsN4Ek5c0Ev6Ok2g1VXLZ2c08N+V
ZFt1lRqqk5CHFsUIg7omLOWigEsRBF107h6dPmwQO0X6byb9oyIZCbeaSgS1ZHG4yPKUVW4SlRof
3SWqJJSj+tqtLqQk/aenGI4UYzOlJd1z08ZvqdRPGPtOdWtfaAvf+rIBy1CHMibce9KfCpbmeSJo
yMpX0vVQpb+nqegAU5Ds7pKWSzLrrqSRIRB3fJa4JtMlfUyr5BN2PgPAHLmZBJoGzNM255+4HkLI
LSfELV6AgpYVkjKeNFaRcWIwC5y4y/X1hrTouyzJsWbiw/venesW643NhLBaNy+vXvOzLKyTWQ0P
Hr/tPZtx+ikVoqBmr86JNewZE1RxGgzyyKA7aHvdbZTAbpALOXLJo0GqJMjryhxKxT71aV8+ZI0I
ocx8zmPpnGwHPTCDHu4FYmqTZERYUi/zpZ/Qh1taVkaaoRA5Z0+BRmMSzJ/STG+iRzXnrSdS428y
UfcxkYaxkcFJKdtf/C14Uogv1NWe33PDrGuW7Z5wVSaQznIEWPQykmFx18TG8tTE9/icCPLplMrX
Y5RYi8ZI7Ew6QBl5JCCG1TqiZuHO2gl8VWuD4a1Zzlk/kaNA0phnajrdV+PhAldeZpOdfq1/5p3y
KCv9LXd4EvJyRvDBaesNU7DOrLeAr66aU4X21KRRRoxG5jHvm0mcRlZZMOpvrMhx0NCyIGFal3ME
dW2gWykgSQ/g57ridlHboKOi9GVOlZYW45vY6u1eTEilaastBrDIyOL4avJykbgyANvkDofL4aq5
vMiF7D5ddZ5iKz0Oa6n5sNeiAspSmCinOB1oSUZevgqnGRZAIFmQBU5LOh3dWbk0VSzuDbSeewBF
OD7Sk2YmxX5CuREwIbzKXnqhuqCQdgsa/YkZ0qGxiTvvkhJz5BLviX1nPuBleTgZjcHCK+2PptNS
mGwnT4OVxKC7EURj7d26avatahyKsqeoZL4XIpH8rZ5Z+qs3hsH3vCzKJWUBq/U9KTUE7HFRk3dc
pss/Trz8MiXT19LHcLumdo5aYRRhq0xo/OpJPTkS2WeV6EfoNNlhahlEWW5z8ZTpAVmH7ZgLok4C
Q+HDrAchCeHLKmOJMjA3lz5hNmlqvY1a3l4v1YDXeXsu0AmOpxnYzqFy6r+JROSTmyXXXgddQGgg
Dm5bO9M/vUmoSCS3/fM6TIZy7p+UQf1VLNeMONq/tXjEaco4XZ8lYCjExkGDrCm4JOQk3oRJIE0y
8EuQF2uwwCCImXHwgoo3R97MwcboHscWZBbmbJCTmAAPwlF9HMynYXaqPWCd49S39xpjJ7IN3Zck
m6Ncqch+b+3cr8wLuvfpLqdr23KQY6oVeKjrR09i0MFq1waL1kSnnalPHYVOgD6deQkF/K6yFOYI
90tMHTxllu1T+rmII+07onOZQQ/du22P32raP1H9q4e2fhJ6FTL4qKIRgewuRTqgV1OJHgUr16DH
UGTBDpVNfFGt8QVVTX/Px3wsTN+husnQiw19jUA2S9Cgzas8Cvo13if0gRNzCU8jel2qFIcz5ZKS
31zLeLFhaNJWzcC5rNr/WtT2x9DWd1Cc93Emm4MNmHc3G8YX4wn06SS5Pm6KkNRcvjS+zbOMVda4
6FpCZr8HZyW1oEgzAKl8r8Psvq6oeHjK9QfXQyE/yZu5mdsRE2ZhbgtJaxz/rB6/eav5ZfnQhjK5
G1YUWV4J6lOsKN9Zb95RuaP8W2jqx4TETGhnhKzbb+wWPkcj/8rRkqFcl7tCZWVolD0MYU3/tNzZ
4Glj6VvnmbNz1qHe29PyaOVTfqesUdfbjNiT1fMTvRNhBt7Kz7hSo0Tj8y6KcyYQC3GZlgTamLHI
dNTN+tXzg+TuNlkmIEAUc075NLEUGZi/+RifnReuutE3lxIlkybO/7F2ZjtyK2t2fpWG73lABmfA
3YBzniors2bVDVGSSiSDDE7B+en9cXf7uLcBwzbgGx0IR1vKqsoMxv+vtb5VEB44wmZml1BxuEl3
cs5kSOEDlPHdGYFlcF5dYTvBw6px6rhT/RBXWXDIqgK3TmB+EleqHyW1slY2Oj9jtHu31vcmyI8q
KKaHsvdA3rHQHwYpD6PX/Snr58mkEBSzQRAtNQ7er2GuSq5WwTdRaWcjvO7d7HLotO2Por6MLSbE
uzWYfCBwEI3VthOpeY688KfrBp/1VPjYlHgnoq8nHNXc6hDpHLL7+lqPW10tzozAoQ+5+6TFlm5j
/wpzcFgJ7a9hXPz0saWhwXnMK+pVdZfOS3CMAzzQEbljo3CenMiWQKR4zmQSsdaDg3QoGaT9wYq+
7CnZtByDPGSWbYxXPZMlOE+uvjYdp38tnHpTI53sh0BjPavmloZM8Z2ZqDPaJY2p+jl4GNHck4wV
QI/lAWUQE2pge3craxSZ816/lsq96VKrU+e5yUOCpsA4Lp9zu6O3uxiMA9b0ZtHUNVLaNG3SLrZP
nqMoy+2GcZdKb8mbTL9syprOeij+lPMgbjGmy73N7Lg2eC6lXMmHbApw/OVfvZBEr6wgWZkt4SIu
j7uAqNQqT7MDmLUz+YFb1i/w2arNt5P4Man+6DgEtGevovrcTG9B7+60jffda6p+S9UWxVRucGyy
p7byuw2o8g7sjbevR+NkArZbd5L8ODEoXsoc4dNg5Ua/6c+ABPR2pFWJhXC67IE+RA50jXCbKAh2
MGxO23KNseeepbQTpDnjq4CMFebV3guxxU6+dlddZK0H0ALcmP1bSlsTaGj/Aeab8FOCczwZVkFi
l2ePptXEqfRlHPLsWdTjD7rrSOXTvUrETcaQaaRPl7wd5BuJaWBE86EmWpvH2QrehlHdLeqRy1G+
2z1p0WzcTnn0lHftUsfn7wpXWHtHtI9GUvwJmcV2LPgm4ZyVBFfsFnZ9ADT8kZseTI3OudgGhiHu
AGILHqddD037ZJl9d2wex5ReeR/68TUeLHPvk/6aeufAthItYyRt1GextcQ71nKEqYnDW614l2xl
EUlSRWF9Thz12onqJYtbdV+ojirW/U0VlCCOc/LbdVw+Oxjw9pMTOjgN2ViFCWNQSZL3CnyREIBj
YJWxpn1vjfE9JzhvW6hKnooWJmOXXspUTJvKtLjHJSIDTR9jOlLF9X/+or34NjIe7f26a/aNb+SX
ZDDbdYoD6JxzoPVLAbRdhdskyqJPn8+idPxn17WSp0gZHY1QEO1RcEE95YdYKOuRGFh1M+aUnBXz
ffyIhSJ454HLrhG6Nih0OV6Vu+TL2rChtLjlscsIfUqE8c2CziTt2qpjnBZ36OkTKHe057CO760Q
8meiSarI/ubVJNnb3v4d+heQeBGPVas6Rp9xnX3JrjwyzFYPno+Hz3WdczaNpOlLsXDn4l230Lv5
+QV3Mloish7/Cm/jB++2dmTcLR2aJ4fPwdpl8t3B5xzXKqz8s+jNgZ9mafMwhoCXTtwCZRl99flc
XOOpuIVGyG4jL6Gup8RBa9faBU6gd4lJK184IAeiVWQ7bgWclAWtViPMtp0JU4WIOL1WUW49SOZ8
yOZFsANSbfFUMf1rGFMKoJK9Hr29z3Phd0J4s5nVQXt5hZs90udoIiKPdfiK1NEeHAl0rutUvc1Y
c6zLAm9BlcwRGdhRHzHYcfCRmyfVvwiAgecfBdEJ0yqgJlIC/hSNzMqDEXm/Z/sFi/9Gc1qc4Wt3
e7tDtOv7mM1XYGgYfuJnWfjxR+nGZNtVZD7SKvkZG9rfeXkfnSaHQ4WP6y6LMowMyyRIT8fGiXF6
CwuhHIH13Qmrc13k3Yl7d32c8yXPwn5kX6UPglbo+0wRdu9CRgh0tJsyTnqRJId4aUEdeveh5rh+
WJZcmz4rmYYZuve9FvarWQaKXCG/ZS6BQkEZ3iEyp3ADJ0/fgeOB86wzPIaZW0w3iyfFti+CtZ4G
71Iz0CRQo0pq1q5gHKJNUuuDidj5Ksf225wu3ozhuBdzd66mnrSUmi+JcO2Dw8kAZaOjAJo9XDJ9
4zS2z57vfWvriZr28sZP+tRneKXYMmcH3PrNLnMFGCw+dBwp4sEu6CvX9W8W6PV61ql5qWK5qfre
3vhjQUE5lXR7xdWbWJlJhBmHM5IaWN8pzHdusASFCvNuphBgJRttCBvpXmCWSWrj3OmWls0w3YNj
ZOlAcd6tsygi9LClJz7JOFruSuBaNT7u507n997iAMkpqzrp1LjmmX3XXcLn0WuLQwFjNe44LQlB
QG1SC/hWbo2YOoWuuP71jeRMYfvnxwx0GMaapAcuK5Oj73bjuWJvYRUmbK4g56Sagugk9PzSjO2O
ngeKLFx3OqhWf8XJ8Ab+tX6qWOqvpXUIwFreA4ToQ6I1HAQcRDMC72s5QIAK+LSwGHGbo0X08Yhq
0K1V04gTxQncLa0OfH2hfgescaifFTeEW54ig5nt8PBW2ypNHWYefQBxXh/KAe9Jnrb1esgcoBMZ
lZdF5uyFE1hntgBNNLvPfdMWj1Nt3dPqrFgH/EArCg82VivU+SkidUTba7YYmN1kAyvmV1UPW04V
59P00rXvNs4xnGa5SzxSjo2aV1AR3CfDxzAPDXPcVh63TlZmhWgqbLrcsryy3dIqCQSJMBlAgNcK
t9zWGgDmeOljVCbvYMDG1TwpewuR6BKZ/Mwa2qoDF7dXokW7zYO4g9S2d6oyODdD2l4qDBOY7HBM
YsdPD43KqeYI663Mi9dAabL+rQ9EbCStoYO1Mq2OuDBmD1Fn470ivb6Z8Zqvrbr9o/w6/xzN+lx5
W57142WyT4SnNTWBMt6oNJRreF/+kmRKTnM8vLkiwk+hW7BGmtSIJ32HkgsjP+KVeWu04394ARKN
UzfcYpbf+uJtgID1nqZanIfGW8hOv5IsHy92qtez4DmaQaVKYorQ0YWOM9gGM8Ps8VwwneAwDFqS
wv0dW+oxhjtIG0P5HppesrEb6wmry6sWJLBcUfzIzPk1DnLWPsZ0ze1g41JHq83HGJJLZHp0FHRQ
YfCb/i46xX3YzTvWIsUbjtaHJiDFZNrTpp/Mbo+0uvaqqd36cbYdQf0QgGkxtzb2pZwPje8eE8Lz
W78HfkN5ywru/uRzslpsE/Ssql1TlgmgkockgHFEB+QfGzZ/0Q932p1/dEHjsjcWr4UcPm3DdbYF
K0IVL6YA8ZFl7iVmKb6ydVrs2OMHC36ZpzhtCTWK+YBhr+ENV/Z3EiG/+UNL2QaXbhun8opVDK/a
kOnRM34GhcPKl3QDpKyY0RBjC9si7Tgg7No+37hNRUqK9WKS+S+l1xmApdwX+ubyrVM/qHrhIIAH
w0j1mAzAfibTJC1EW/GKxKU4zgLMDKHcfGO15bn32VIEAKC5cJNXHE11rAe2r60s9UmZ9AEjsm60
g+dn6q6FguLd1XjiJ+AYjddfRp4lkILaBBxTNJ+0tC8+H94DxTHGpuff43rkdpumt2xqKy7QVu9u
Kud3E+qO35NbN9Ky3VT4g+t+dFbUgObbhk/KXqqXZC78TR1Qey/iQ6sHUlaNELvO9956mZkPY9fd
K35wrIDGVdcLlnADUWrum/NjmMtxixDWHmGKC9bPi8O6d/QDXSEM5zMh1tDvuJBFdOCwyWX0LCyI
U9+Eb7yTW3sUz6ib7yAY0IizCgY/wYEezDf7RuxeXNJ4vPXzojemibtVJfgPCmytk5rrZOVql5Zn
VNe1LglE8FjxbgIHEficfJWOsvuOdxwXTOBNmD42XltuCjH2+7ApWZgDsxywhm3jCeDEQNcGTii8
UWXLxpjj1kIQxJ3UNPjjpqkfYcphy/DbWqyrlv2FX6bxoQI4tibf3a0BCmf7tBFyVZlFsRszMpuh
hQGKjNZQ1wMJwnDNIFu8OKPxVSvHOAXcRbJQhhdtDenjokWJOaueKDq/Gjnv4zoKb4WBXJy0Qfw0
Ru4GLmd40EN8N6ccOQgL9ZAV4qI7EwWhRe1Lh1FuUz6tI2ArxAeTrtm+DbHKxfrQ5N4PktXWgXcf
fmTV3rjFLTEPtnstgTarI+xvNcZiu2myXTYnAlMQltax9cK71Ub03ci6e/IdlKnEyx12U9YZrLXH
ApH4j26A+gKz5xsInCzcRVpwU6v9azaKV9YQNM920Ah7ElnS0YSDzOqnjCrz4pW47YtSjZtcRVQw
z1V86Ev0p/yum7tq5+p5jMqfUWpjTe1+2voz6fMBEiNpJMvbMtu4jwWZWKNP6mNgEtqye3w0M/iU
virnE4vPV+bI4pRHZL+kyTBffchCVF+NYoyMqzeaAawXLvg/xjIGdVe6Z9EyNrHDBAEFCfZQOhE7
nq6p+dATX8pYRngBgPdYk6AwNMFrZwFm5TlPzIHmoUCfWq3EG6x7hEV36O8VvZjCj3iom9bn3NTI
t2NCGLB2t56CHW24drZPCtiprKkBXrgTe3crVsdG3mY3OfgjORaZkjzV3psJa9ZuImblAKhY4bxX
A8GEUYE6sCCbsMMwdwmPYMarC5j3w2DjB0iTZNNkZNQGHi9M2jvLa9ONQeaBujXABE70KgTrgKKY
jc3oAqzHfQWj9CEuGp7CxhLrMeChQARbldmLXZQ3p7GsY914nHuxewhSABTtNLhbir90P+2y3IYY
WAc3wXmWs6eamu7H3PnbZkKWwI8CjjuqPhwogatyhzfk2DZ46XDPfRHyNFeJRZZSpR8hDTakyGFq
eWaw4txBJq3t+DIwPpuUdcUWvrhGYmMMfE0qTnIkBWw/uuRi6IDwsyPLrWm9zMLlWVT9DBTnF/Ub
sM4mbzpOStxTvMybqvbE1uEuwaKBTnNYG5XX3HxzIq8ocKRPbncqunjpMU4Ip/nTc1FytVAi37qS
+9fEB/g05Qzp0KeJy8iW0GjG0jPIoVNwa2AAySGrDO1WOiHGAZvNs2zr+5S57XXpQGgQlFPM6Kbz
mZWc+x70+mCmtoYMOsKPPWJzGzBbZtOfPneo3Xb5nvl6OLgyfQj8J0vlIYQoOq4K8j/lLJzHIU0/
uxoORU1SPgXifhrjBvOmZpFe99W5NUprRw+LvR9jdy3jkN3gjKIyB3G5k8plM4XEvGDogcqWkDMm
6BTHOi0znnHiapTGH4bAbku2aeLIwe1BPyxbFlFxU8i5IiIVbDmuGZSFS3yljnou5/ioWx8kVzDl
Nr0a4Uvnt9OxTMN5nbcVKBUHQimSw96qXuqix56psRkGney3HqnrlSYiuccv9C26gEAIE4nou+Ya
JtEffzmpUgbLs1cWz71v9czSQN3yvhGvfRdEG5PM0IqZkeBl140XWdUIKxG8molx3qEx5JmQ+bz+
q12+qghJ+Fx8NrYDwIjMQYKpNMaEMOFEZDSxUZSGbDMUfXqiGWIvxAAxtsFC3oBrWUdO45/sav7i
gC4vcccvgZeBAJZMQqDe12MQzWeYMZR/lzbtd/1oITzDCGD14SN1s76080o/5ineibpNisOEIHgf
a2HcI9PfSO1gTsF3syqM1to6WOPO+UQkzioQ05IxMLdhpbfYQFceKPnVmDj32QJ8m9Scf9QYpQns
A4sQvOWHn9KCxt6DsCeYifdSeeDkuYOXUf9h1nCWnYllLKttEgao2LNLO1YkPGC/43s6AqsSjG4r
sw5eil5BbG6PFZqKa5ePXQ27H5tfYGZPasIqE0dcpCvzw7SGe8N64+qGLDU6UCr0+eaXbGx+BiVY
HG6RAPF/8kHmFkTRvVdDNQAUO4B3WKbckBccpwAXwrBZ68R9C2u4DE5Tg+NnMHFbfiENjUWB/TUq
vol9EfpspPsdqZqj0slGTc3BppK9NuUvsAXZKba+mYQcHDS8lazG3saOoBdCskMdMi4xQETWUWbf
Qv/DjJOfLsxjjmWiBEullu3JP6KRyRpAG/YyesDyHms5nNw73VNTE5+XnrkcUxBleekxaix4qM0q
p1Iqh6RBBi46mVLdCsA9KGU9V8MCXWpaEtQePz+dhztW6KT/mJOkfc+OBNa/6QMgyE3NVzxTaiFb
eoNCIHWd/GMZ7ccSpgTrY6PnuHdRPmO5YnPUdB9Fq36SQ/tpluVvlfBxSb2fQ2o94uqGAsf5xbWk
jcdgY4zGt5Ph/bw6lqLtQ536tr2FoUGanr9L9YgftiLDL7gh2Tr+Y9gMFagXy5USKEn8XAJDrML2
xQQ3yPb8iKX6QcwLVYO/VYbMIfbAMM3N8S4FlkBDU9mu4mdXiweZ0NrQcdffAGi4O/NzYdJglNpi
xeqdN2x2d/Fmrf/6Es3lpcSZ3uYTt3IKAbMpekkZS2y3/TBnBMSE8QIa5wsXZwJosX2vy5HbWVR8
e/JtRpFdmbTJ1VBKJLy2PDK2FN0HwJRxHkb6Y6laW/437J98n+PfEWfuyNGh7Anr5Quu0ordnzwz
u6CjsdSZHL587XDUW1ezTsZjMONK58zaNgy7B+L2GF9n81etJ8I+Ez+9yjz2gbWoU9FuGFG+NH6G
1vmVzd3tr8CBfzNS72Osc9zWwxe5s4eOujeadOSztoM3gH/XmQihQJvuwvIxr4bPapoeshSTsek4
h7DEQeMKcWmJEwVm/gV9/nXC6O3O7Xcph7PnKh84F7WTZjA3/46z///QnPCfG3//7SH9BQui/NP+
178VKvy9F/jf9t/l9Ut96//1D/3tv6E9+D9e3ear/frbb7ZFm7bTvftupqdv3eXt/yggWP7k/+3/
+S/ff/0t/4dGM0oQqD7431eY/bfid9J8/cut+fr9rf9WZfbv/+U/Oxh8LjK++8/ShH92l3n/8D3T
tT3saIHjey7FYv/RXWaF/7A837epDwsszzE9+gM0mcjkX/+LJf7hCfoXQpfaXYeMzv9LdZnlW39v
L/MdjxdH95YV8m+5rGKW+q7/VMKAguulxhQiOFhav2XBxB3bg+cOc6062lFp39sGZbzPepsHZuHu
XQX7AtKTQdwYROFqGoHopLWn3tqAhYcF6W3PIp3J3+vFmZqWgUZG2VzqUP62DaV/jS0KTqiQdle1
QeLMqA1ksnFpDmi1n/7iUTV8iG5mEyeDKTx7XebCVxQ9mX5IWMvktzx0I2/8ErZd7jiHABVQrWBg
FOSwbla+yy4H8SLAIG6GvvkbZc19Qa9Ak8/TeFckob1rs0Hf0nzxc2mRRX9wuuFNLwinUlqjj53X
N49kUqDmKPI2HqghEhBOe4s96GOiQ4gkDMc2Ba/rw2BVMQTWVkLn8UzxmgyhsZs927lXZtBiREYk
etOOGV4GA4/SQPhGw53CXwSwn2UDSBsXHcsbSGTiJShuXYrjpRogIvhdDQEsm4zqR+x67Ytbm9Um
xI29aX0rPJOqjymiGdwPPvnBeyKmdBc5kTop1TivSWCnLzLOjHcs8T0wIKc5GPnCGRlBrdYlRtVZ
msOPoW9KkgimQ0MA1zkc2uo78ozuIfS9hYddwcjjVrV8Y1lZqg7JqbTi60yjDS6csHkPcBTSjkB0
U7Miwo9ZhOy40+pENjR9jruo2ILjpgmm08VmUM0C4eiMxdMib1WWtR+pRHModFuuMcS2SLUl5a5V
Nx0BGAUbVcfJTRHPAbC3vAGwHe5q01xoRlqB8zctmGXs0TxjJKnetOF+GKv4fRYQs1jP9xPFm5ib
srwWxKsBw2QdnVC0MA1AAGyXXFiLKNnyJRHg72BcR/4eUh/yYtnYGw24gTSiIjXo+P4THuT24utQ
bql1crfGVNXrOGuRFovao9Ep7UnV2vN7F86Q1bRfGyceHOoF/uS4ALXzbSfR+4kfeES5Y3vV8gyD
QjI6x6pRrGpMfJmyhI7NpY8y58rGhIztZTwFGi8uzpL85GeYSRtQlPA2WtGudEQd5ypXs/1ZWFI9
loaBgG1HGHdXRkUL8qpQkzrILrexDoHPgdbbY0tSkCPCqW7Ojt30V5jh876XYIFF1g4HWJPNeUQa
eJwBZB/AcWcXPLPJH0Xkk09Sy+I1nCNAsoP5OPs8b2POusPUaZ9WCtg2Td9XD8XgLDVEMjmbGdUZ
a1VmCS69PD6LKkhPnsQW3Q5d9wtYYf1k9FZwBEFu3MDcsOXwJWb4mNwTbs2FA9LmVdcdR+k2RIT8
rpv2QdLWGLSk4SfEnGyTxCOhE+PmkMCOcOCXabGXhkVoVJm61jDDMqxBgEPeHQVUhzhXSDcJfCls
G94CHn4LcZOSrIgCMh4p6iMoEOqCmUFQt1/AcxZvKuQHvrKcpC02c0g/GomySm3J39qbLIDkj3u3
9p8pzJtuEawTe4v9Jq5ObunlXwuL6iOg/O9Qkr+9AtwwHgQ80HWEpZwuuHqMi52m4djYKivsDrU7
W9leGW77Zcl+AIcmjXNrTaQSZ5ubsiICficIPJbY2uPyoyySDt9k7ayTfi4u0ZAGQMxVAaaIfwGI
XDSSMCzRHHCo1B15qmhwxqMnpz68gFg1nIcAUOlyua+uLcktErWdYb7L3Bq9c9vAdtvncQf3U8C6
5u1bGdWX5v37FUWieKtGRx1HXRjvEZQV8JF8wwpSLL7zPXHdsoAxVOFD3PcfmQr5QvyUNVOrazbf
KcIVKpYOErxpy1vVwX+2i9quaDDvteGuZcv4lopA/pijpDR2nlXY0X1s2JX4C6Ov1bpkwrbS52Z2
zV+AbSd6zi0AQhcoQLjplSZt6/Zt96NpQlarIBPjjwYuwzVLR/HbFj0gviSyy0NsmdM15ef+mc28
1tJp+gP5FZzqjbKgJNMLfgbTG25mW3u0qudwiGDUriNzaJ0bhKFwrzNh3pTj1U84M4rnSdX1wenA
nMN68gJ8KwBeKJ0bG/PATw+9YAlV9I4K3rETBjgM/WbFg0zPr6yRfXkKBMJpLWHcA3n5bCxHF9ts
tFPviSM4/YE5F8netAP3V2uIbqe7UItjq/saTRyWGws7WrqBizjsX0onRJmKJydHPyfKZVhGfE8G
d/hQgTW+YnBgjd5a6hRa2t2lBZU8VYtrsSI9dghdf7rqUPdfHvx3qsm6QUJ9bgOkSF7TNDnO2WLj
vebSYdzdSZT7yZMlShjf5F3QG8a0FnHUv9Zz9AA81gI+CYCGfOjQiKuqFvrGwiIA8wTQw12DJM3+
DKalbq7U0362eorehwFFxo7V2kiowikUfpxYz/4vh/jP767lcl9aAbsMknb1CuGZKIZR9iROUT9p
ycyish3PtgdDbYfk0IxfqhoK89ggEoVvVhd5LzXJfcru0CEy/k0pnsJGj1sWxvOuDTCJcjeXaXq2
Z49IA/uUmMSqZVLmoPFxbxBoGrIUI1M9JimCWnEWrsF6sPCEJYvgGCa2/YNSAnmnpLgaAA5o/WFM
fuwfDdlCM6pFY+CTDOtTQx/Xu7FA2deqc1wHIJhGLXTcds82X0aPGlZ4eUojSgPZGsHTZJxU5mlM
W/3LtiucyH6RAjbF4PDdC5X76wIg0oesBeVx4Vg/Zf7SL8kpQqnb9FeakuQWjxjJ+36FqzJ/ycZU
uNuR8tEFec+FAdJl7lKyB7ycVSfIAeyywL38il4uoC8ERms6Jm1Okb2v8eO5bcrwN3TZ2wjXUpzS
pO9PtRF7+4CS0m3Yh4rQ3jiCLqvShTdSR+7BVhL3fwX3ni6eQt0T4nsYiTHlADCBxyyOfOQTd0VE
DYjHYMfWzqJRmlx3NpwLz04Pc1CR/qGy+Jd2pUnsdTTa7dTh1MGgURznjnCHQZpk6+fcc0kAzMjk
ZgOXtgmcd9dVeL+a0WEQtRtSao6q/A0NtimQoASwSDMCB+J+2XNuhWRSXVF6qJ0dHNpKgQMN+iC5
jG6K1qBQ0dcAeajkcsvyzcA+rMkScBCtqwBPT1Ypzatw6ydS81hMxlbYlPCYId7/Kt6KcQpPiK+0
RRi5vEmbOu3GqRSsdRNcK2DOg+vO5Z5+BPtoBh0ms1AE9g/g0gDfw9IkwRwjoqaR/zAlORpnw0LL
4T2+6GLRzpKLl5B7aXtp3Dg7e1mDK0Mmyz0crhLw5UQcTced8AqCEnGAruVl/kpJlrnv6GZ/FDE1
yF7Nk7IslfExk/CHFcaFlOtQ8yBzH5yS1xImg5VwMNN8/pma7fhBBBzeUUW9wwScmByvbbAJGERA
DCUGPxpRDsHjvjoYjrwY1nDruyJ78mJlgLMfsnMRsHTyJNv0yAqIiXhJ718UZs5oJSpDHThkw43Q
IdK4l0uERd4vtKmkARD01pIg34wg3Ud88M/dhCzFmlBle1uV4hgawY/cGhD4HbYiY2LLhwBYZpbh
fRF/qjg7imaBmBkjfT/z3JFGY2u6ASVk/TBoegCeIuEme7P7gj4F7RIuUbZ1VZ5egmIRBNoA91vU
0syRYesPxliy6oChTUsu6gvUqmY6JLS/f5hu5extKY2jW/nk8eMRcRChnuqMXDwoNqbv8dxjgysU
leb+IMxnG/LlEaS4t7OoWj+pworQYKvp1cJjRUPq4lyyg7FZIf32+6aVOA0VVymTzpBfFsGLYyrt
+Gc1iWRXcC6gs5nqUhg+jJws1QcxASilMVgfDLboxybJGC4EVl+bCs6niRjVxhpYzMZtKzcGnqnL
aIYDG8xi8jfgqjjFInt88cdU/jDtVDEhIE9aYUuAlBDEScXZkrwJPqxYszBRv6KuiD6KOvB2ncsQ
NFhQ3FXeWwcCkXi322GGDD8nWzl26hC2ZGJTYZonYMbFwYfKCw2ush7SrsAc0yTGFnsiOGAdU7oJ
7/XQMLUSZaCVeiKmfbFk5b2GriGuk4ygD0Vjcqw6r/1pC1less6Xi5mj8DbZMOiLS8DhnuezOMIj
yfelob1DaI3ctEu8PCdhzFwpZTzSsWljk6qs1H3NXJlcJLHAd26ZpEc80Oo7pjhM9iWedwK4vU2+
CbydxSO2Ld/njqtcYGcDchG5DM1IdvZsdoISrWOt7TrdNpScnhMkjO8BIevqo59/Tj3YLIxKVDXZ
Ga8oLrsMSw/dOR9eLys2cyiGeu4DcnJmegxcRqcwSuAVCKP41UcStw+vOrrAoxzBFHWQ/1iUNrsk
7/yHTPaCQA+A6VhQtDIoUV/zzoL7bfbxVURe9+xySTgSfIKLDMpkn2VQBKn9Lb2N61jmb8NobWTV
ptxxhhtr30LKLGuym6Whhqs7EAzDMK4RzEVDB18NtQAv0HeI5PrAl1Vux1zF324IwlFRH3Eb+8WX
yzsB6k+lb3Yauo957NfWGmQR9ANl48OvMQXH7SVANHyKUm1fIjj6R5sd72Eyw/HNgeBydZ0qPY2N
7T8PIAoIWpvBjlUbD4zUd6CMVPY66iAcsadMufa0I1ldWsnvTCysy/NGvxhTA6s0buPHLArFg0h1
f/SwOD44gc9kGVRA0yoHO7g0ok2DuXbjGJVRbPVgfNhdlnzlqUWFRGz79m7QU/Ucs/38kH4SfSlf
0GdDqbB67OmleCF0OB1MSk1ulIfHnw1MHEyh8hjR+/sLOHW/5QMTHSsRVwfbB4FAaKyyTm7cjxNe
5wlXRgvC4bRQi7+6fnlieaxaDnZr19e6TadXb4GoInpWR6n4ArFs4q9NRL/GVMlDza6AYc06YOSs
WXVUkzk8S8pE+dKB8lstnT2CAu1zaFfBq+/lNY0tSE6lbU6byOTq1mkaf9rWyPZhBTm5yofqRUA8
+yNpM3umCRyeE1hIumVs7zOR9vyoA9/do5lpn8S8GVCLALAXewVVmAB8KSYLcMoMDj0qk2H+ZjKq
b5FtG7BSBvh0adRZj8VoxvuSOUgQOW7HR8MdQLtQYewkIKcSLNFz7nf7GrvQu8Wi5zo0hbctkww7
szP2vIWTUAKDwmO2ozak6R+4HgNVSIcmf89rmgI7XTO3a0pyX0KMrECDAu5vdFwoeWFQis9+BFqk
JxV+JqiK9623HJSMLrN5ZCQze2g1CMNlBWPDF07nynyH42I/gOcd9tSsGhu+LutPzpqiA37EWxj/
W+pICoZleTNppF6YigBFwsYVz52iNCCfhHjhGCgeMVU0e92kw2+zqeu9kMqu4dTmwJ6Qistjavjm
86DqiaBDvHxoQIkkX0DZ/J2MmqJZwbszWgIPI9iwDqnuZ5XFOju0ceG9YxUtPyuBgcp17PE1mqbh
2ascMOMmIQoq26vgwEnIhD1kBua5voFDnIXONYrJFYs5kleei+27SdfdHqgn95W5jdOneqxjsTHb
xv3qXbsCbEN7D9YdO75XcgiPthwVAfMmprktxW5RjEyXfReEL2RoY/bmvet9wo5HXrf6vNp1Mkn/
OEbSrAcKQc4EWfuXsCboBBrEuRal57wVvGv/O3XntWM5knbXVxHmWmyQQQbNxdwcb/NknjRlbog0
VfRB7+Lp/8Xu0WhGkAT8gARIGKDQKEylJSM+s/faiIrCPCXZDkvP2E0jap0+1I/CapFxs6I4ZZFi
JxhjJGxTEwWAssn63NvohjIUXNghiRGp2ErIFLchvRF8w3n80rqqngJNOkOEi2ALzS9+mbDFUh9k
luetZa9NYhWbbpfGHhkuRYODacNy3SHBQRXBwasC+nA0sgCcHQ/VvMHwYm8FTfUKvYkaoccI5VbT
iHwCK7my/eZIQ9gcxsIo8bYhjFnNqFno7nDnw00KH4EJ6BMQWhNVV1vvRjWFR68vzPOQjXKvbQLi
WF2M56qFsuHZIarSaG6QQ2HjwZ2iThzb8wEpRbLTcag2BW0UirsUo3plgUTpFZbQcgITGFfA7LyR
ZwCArwsw0a6/lEqrX9yW+p57FWDRrumtVc+PnMoA705RyPBetnV2LJ0I+sdQD4xJgEFA9mG8dKJn
RETGNIFLsmO6zZWHQDRYTWnnnkUrs6dppisfXNuPQJ91Ayp1D+aMY2hMhCjN7IuVlcYXF6wFjaBb
wFjDMMzNdrRjCkizTS3GBNKrcS73bfUBbCJ+12T4XOphyB5jrxsOo+jlp1m0hOAUkx7hmcXkQGqu
2G+S2TUFKLlND6qzq6Mbh82zaUvWeHJW01s+1qxrLbyxMz+UzvzSuIUqCDF5a2/4rQ7IWkuR33rT
Y3kaVLb7i+gi5PsahzP2ySyFTBITOYhhcgy7bz0mUzAdSZZVGx4rTH6Bk1wrw/GbtbC1vHluKPwt
V6wHBijldUWk5J8H0SUoIUr+t2ncqXoxklQ9sXqV3xkhdRiZKqvHJ+GwtUe9KxgC1JU2dmXotS9M
I9SlaRyxYz8Q4NJOQ/FAIeXejWomlQVQOdKLiSyjs/Qi+UioonnoTUG76WHM2wOlDbBxRC6IJ9ru
NZYU9QHuc3oeGfXgB+8RVoqQHnGVa6P6DAjqpJd1J0AWOigA8PbMLG02KHQETRMmOPOb4nc7BMbX
YIqZxB/Esud4IS6tZN8w+64RXTOiNskhXI/SmGpWe3oRxkU6IXmUT7bCv043LgTCn9Rtea5lkRHV
xJpCRiggtN7PYINuY+8lb6Masf73dv1klhWek876QTSY8YC5t3hTuJTAcvq4EoIg4YnWIM+aoF4y
c7pkMcwLJBEF1byDWCyLvws/n8q9ADpH0SvM5CyDmdVxwTD61JVVxHc5MPEniaYkOtiBHszvGA0O
4Od9EWAJZJSUotwFu5r/wD8XQqaI00se2mpdwJNFwV24Z1nxOg/8/xioRsM1ayz1Ppdt/N52HbGb
VdWcuaGwp/ateeecG/YaGQ2b9GKY73yrvD4dWIjneJjchzLCKQvNLrAe+U4dvkJnrq5WSEw8Qypj
3OomripYqbP124Wsne8jTnCW8ArAVOhZE9JSMRSv0mCOg82Axwtx29HJPaARpivLcz843TlpCQCH
h0L8To3c6SQiN3lzlbks8Jk8eaXdfxEdYOxgn4SHnOYOsUed8UxmA/acLXOIvtuCngi2lEWoIrzM
tz88PfQP2RghlRutmKBnVzvYUzwR0uA5DoX5KtTJtGByHbRy1nDugzgAlS+l910iOTt6SrYIgEwf
gqrJXQ6xY46TOyk8HBsEc8wIT2pzJH/WKHAqZhLC1UjCyIF5EmuAOBwh5uV+jD6hhKCIZp6aoFjW
a5K76anApk8OJURbQnpD2UUQt+wph/2UZXqtbHs6lrEik20ieea9j4r8Soz2j5oZ36sVOPZu4D83
1DLJV+UM7SmEhVWiEUn0ftEkP1UVFQ5CsfZ5ckZ3b4/kR5YmGMepzMSvFFPLK2etfSmicfruowTj
Vx2ZwXOHdzNhZNTPKZhvgnOpMuWwiZYCNEolGRXJPLzU2shfcNEifNS23+2sNsLRLaf5RodPLe3k
py6S6Qe9SLxtktIK6Z5aXmjVZk+DP/skPEXDDBhD5S/KqrKrN3TJlfOQCs8L0nYdAdvdD3ZusgEi
/XjPSAZ9m8Ej/ZCKkZbGbAqGrKQMY1dX6FDTMmAwxCrM5RmONeksDYRq1xIvDT7clBFKUVJzZMUp
tRIwLRZicb7lwqNRCpuUf2ovZigkTpvIq4pHIbX3MM/J+LMefIDVuV3jjPBH/0mYWQFXpo4mLBNW
cZdJFDwLw5keGw68Dz3OzQ8GzIqqCfBB4nfV19T73TaQQ/4DGjbjgmFmNtP0jb42A1CbSZYjol7V
EqgZOkxoOK7f2mLKJ7TCU/pai0I9jhjHkQZiD33LMfvj/OfHZPic2F5TauIYun6bCSPBYR+7DpYq
j81Sbxf+YYDoRdpsE/Qnsj76J502hUvWe9ueZGhE2FUaFj22bX9TJjrnMuvyU6WdEmk/+avKaqtr
DYoNcGJYv8yA18GBQUwm0Kc2T8pLcqpfqzj0Paw9TijXvlZFNfAOduqs6oKRKbnK+dY3rPxn3NTe
rkV7g34ZRxveCsjcJIakx8xR4wNznBlukKgZgrgBENhAHzxGp4wIA6TOq4YoXJIT2BXXLjGBEVT/
A9+zOpFPsezeavxeWYfDc+pnYa4apqeY3xkJc76QRTRUkX5J69y4V41Fcg1W7kMwCjASTmeaDOUq
ua6WNoaBDhrDATXOA6Oe8UAOrr6jBsi3nh9az7Qa462es+aOfhSilTPjSCz90H8WeRJ8iwOLGALw
E2/B8lUwS+lhqFqEkHBhTYyZyJ44SOGEhymRwTeWyvNpUjiDStYiWCho9aWCJ5COEvZZlpUbzp70
wCkxXsI+7I+lSR2xVlFWHgezrsuF0kLNkVCY7fzImp8W5tmlZ9TBjGCen5lgemJF/jOyLa57caXF
yySlaBxhO6qQkTlEsf9MegcfaYMX5aTcdPqWFTMwlphp+XfKXaaUspoQQAWAz31R8i13zijuYVXj
XwBmy+ymkgXrQJyDK2kyE437mvl/5/ePkrmlS97GbJ47kqF/l2jWn5VqhuMk5vBWIyQjtrDKC/w7
qUOn6bq/LL9ZJgahVK9i8ikpe84Vh+kIK24Kt1Vi0TgjhKqd56L3jYMDZTDCrCWbW1RP1rtUmNas
jKcYuh8OQsdLjIvoMOR7HpYPXhhgLz1b5gQaggcFTdkpo8ccJ7aAl31m40ZXVBlQKzmj+/jRkYlx
dGRmPDix+Fl1BSI3H+VkzDfmZvcoyNp9bkXzXYXJszBTjEqSKHS8MuNRUKhu5RhnZxgC02tSx+bO
0YW7WcTta+mN04cAvLExdZ99g/kH56cmKvf7AM0BRyNBYztmIBhVEo/RGApdVvmmjbzaUs5HorEf
oZs2ziR9EWlPGDvLl2J+bnFhHHgVsL8yzzYRzPftb9ZdhIyXkXzWtaWPw8zTifU52Fam9Hdmqoqb
ThUC04JNxDy0kA48E48yQs/B3+WNNHY+cJttUzAE5XrKNoxnm70fMfdXzLee2wGau9fp9pzENl0t
A8cQJ4Y9i986dtJbUergNkVxsuaFIwgePjKPXdoT3VdU9g0LUeKttesbr0M4t90WHyuBhUCATrgN
GFD/V59hY5qKfN7FAL8tGPeMsycZ5j+IBSX601pKaIUpiiRErkC3HpN07fNkvVlirp8cGQvStwbq
5X+RED2WOVpT9V/w5GBMVl2LnMdCb/PXXx+//v43z0GM4/m8ALZkCWgz9v93PY7b5qzA+7Rj4heN
7XPc+/6L15PhsoFBS0ABTZJJknBMngn5PhtGyeWLVTN985lpbv78Yv5PK7/+P9J0CdP+32u6ml69
fzJV+5/Juv76x3/JugLvD8eSAvGJLaQVkOD432RdgfWHxCCNQMtCbsX86Z+qLhH84bg0/AFTTRdZ
gef9U9Ul3D983w/4zUvfEoHv2/8ZWZcUfKR/eYoMYTk8SXwe/9+fHuQqNVh1Mz76oh26TbiEVG+6
pJxvDArsV1IeHLB3JUDKbCxBhHqR9Z0jVL2o2iDVIc6tL85MrHKFkw8B+fGWS5RuJzWTfTfkOrRG
t1uXrIj71WiOhMchJqE6F30CvEv5VnyUfeGPt8nJG4rhTI9v5Mhn9yA1OZtZF6SgRKsECALrkuyx
q6GWjNo0GkbDtt2tLWroiYVFYdhrdn3sx7EkBsBTgja8JstMASFAcqyYf2/KyvjiTEx2UzPjALCH
iUAiLzgFMyoJHwUZ+gYcIlEQdm9jwVaQsDUtTr0Fo3texE4hw4wVyRmwXBxdLfIrPR94jwyweXT+
Q743A5XkcIzJKr5GLY4rKwqWSCVMF7u2Fc4xj0pOSiM3KPUqzQKEI/+MYtp+TOc2oTNDU4p3bKtt
TDpJUkk2GjVb+L4f2gMNibwkRVM9+o3lvioD+chg+5Qm8IY3YwlDK2K/yyTdnR/9sRJg1DvvtUNr
wrUU8tl1QuBY5gftglYdftoQUy9NXyKF6sJI3Lnu/JeCFSoxzgCIEoe6Ff++4KJHZXLC2Rhe2nR2
H3Gfu48Dm7f3kYvzLcZTDgrfwMQAkO6pjOvmt41G5wF8qV+davqfd4dwYQS5aogC9UVeVfU9d1xW
dchrAmcfOIN8qHQ1iI2XU/8RPRgWKIG9OUqGBzwczFIskVQr0xyKnwAwLes09QEdq+n5EY7IpCJk
CLNblpxwLuq9MUX6vS6txGPkTQAovYIDcnPGV5/v27YOxN4tiGZwdJBy5RZeRwgAx+SKAzW7j6oe
yTGyu1CsgyEkAzbLOcxJMyBAaF2X8/Q6FsNo7yrhaZzxjSa5ClFV9FB0UXAipLBgIez44ZOqGv3d
MS3nFz/m/hCnbSdW8N2h9Vc1AOWM7eFiZ5aP/TwCipv8BJzt2FvqzUU9d9VR5pBC5fb3KA2IoCOO
+sW1y/TU946+knBCx2SbQHjkyAKQ2nc+g3U31qwVloWhk5sn14eiNzgzQT1uVvfsREUL+ohqKS/t
iJ3cPI4HBBDl2SrG+ihjGF188RV4mb6engbSXXZDhaQHH1wr0g2jGslSZp5+ImCnUgmnHr9eS2za
u4Ha6qxmYr1BOEEmAQQ0wNwsZmzgqxTvP6oqMVokaXVJek+I/Xmv2np6scCAXlLXtulxSTrM4PRa
8jCNyC83aTyLtWPmAIoka42nJJF5sbblPDBmclyC/kC5gv5zpm7+afqN8TCaPPArQ4WSPE4QlXc2
wfXV6b1xY7h2+pWKis262bX+N8zdzaKDj5n1or6NL6JVSMiQtzn8YIxmae48U4D4bornCnbXq9lw
me8qdDfxJi0booyqjG8uKer8t5X46oeJnzDfANoBZYykBptVa8NV2NIWxx/MkAWpAx1mjFyW8jPP
vHbBEeJDOc901KRYKs9j1KBj/4eHdZajoEFLeaji3qNLpuqS0WS8QmeIHztX+R+wILtnYCpVvi29
jIbebgoi4us4SxmOmry7WRBHIyZbHaKyL2pTHCfpDqinFigxqgO4dcgTf0w6N353PXAc3Fwu6Ywj
Z0mxsXN7uBJ3hrcLAQoQn5bwGwAOLSV7OyZ3xRuFZSH2omPWYhhfQbdjz5S5qEDWWRX1x9BADbwi
isD/lDljgbWhJrAHTjzcrcaKbwEqYqB9RjtxzcS6O7dNGtyoh4N7Ewv14OgGzf/MtmurhO2CtzDx
H60VPV2yLfyub9ZwxtP3xjFG9vAWTF98+XyeyeLW4sBO7Y3L47noh21AII3dF5D5oOFO5JvjW1lz
pJGYUJhUjk5SJPh3NMRvFsOJs6AlsZFRBUMCEkVaKCKx+vAFmK0CxFrSfiRxnRNx4JYkfY8TfwOg
psf+KwwEO75b6R/VJNrvfW23v6fIhGRhdOQJAN5LozdrMhfJbF6jBQ57QxoYPnuYGAnoNu7Mhqz0
9aCMJLzqPhSMc3tjQIjV+OODCuLmllk1QqlxYJLFtLGNF89cBCBFNKb9UINMgvk32fkxcseKUI4+
YB4oQJl6t9rKEW9r4CIZkMeRwn4m57mvyWUEEIjbOvDIvXQah8BRdCPc93FLew7rxJgeC1vEe2sq
2jc0Vd1XVOUGS8EQ89kaFT4G/pmX8J0VI4Ekpeo8ZJOE1/KNkEQ7ydE76yidyUZCJMikzIASHwRV
2q/YCY7tphgyQGI1b9C8jkAYw8jy62Oq++7Fgd8AkzZEhIaF1FbR3mYLSiBDv/T7zrTPa5dZj9Mk
NgrlnA9mLXkrXTfzdAXNchpViTnbGw5JBtteo8pdUjBCWVe0bcN2QPWV7KfamWFHePhUCQ6qtniU
BHRuVEubxswBYFesDz51o+1z6/sZtCrS4Scs6G5Jths71UM4ZRJTaeyYdCNOigTQniqnOlkz4eSb
0Cnnn1VAEWH2afE60Y3+ktkIrdMI1Dcps/gNtIP1bgsvfx1NwzqWltPtW3d2t/hkKtxPCh6+VZVq
U8GZTHd5iKB5jSXF+xh4vk9R3Lfss1On5M335CepKpAbIPlJlu+NPmm2FscJXiMInWkmImSMnA1v
a00zhNZzhd0lhbuBR5y8VhzotWc3dw/p64YpPnuAqCXtUsaV+8VurP7QvvR2mW2iwYNxO70U/dTf
5RA3PzEmc9JzzGLrI4nuFNJsfROuEWwGPxn2s6xHvLi+p25lYHoI44ZUdqtgEM4Kgm3+aig7gHwm
vIeqHqsDX3edcKrbwc+4R3fpsnLP9kPiAFxD90osTFH+itsC9jd5fTaN64LEmhtfvDpoOC+Rkskn
5nuCqLI8uFGplB+4gYnAxVDUZSuxJD7inw1AfUUzXrEp/5nao7qCD3P3Ishb7DW+AuJekoD3f6V/
+l86Z/4fNMUITzj2v7S0i+3mH3aaxdfz97/d31OWAfG7+ts//nppa//xr/5qnTz/D+G5FIGOjVXU
Xhqk8Vfb/f1vLv2Rb3uICCifXMd3nH+2Trb5h0VfFPiBK9i0YHj+762T/QceKEm/xeaJflnK/0zr
5NCP/VvvxL5cWHhCsMUsXbjnu/9DB47RfcLC17W7aKrbbfK7BmKNTM+KiLyC7uEnLW9DtmXbMW8z
tEbonZzkIR2fu5Jc0Sa1zpjVD5YziwO6t3c7EfpUCDZLReTAsxvwpkHA7Ld+lJ3CGfoSEws8i2Xw
XIgkevJ9WJITaiFUrBETHxf6KZ7KTG4mMspIpQSFR8Qc6/pqhyLzlnTICEYnqQ9ME5hiD67GM6z1
IUijaxM3AjukaZw8nULOm7EGBi4LDGEtgAJKbKb3CM/Yop/daDrWfl6fo7Db+4ULJ1/XNcR6qloG
7uoadaRehaMob0nPasLNvWZj4LNdxZ4u72M+9ts5Nl6UofQVLOuH31JIhGhkd8rHwj33uvlhPMTu
nkGsvMoEz5yM3Zl9tGoueZz2N09DtTYdJT4s+N8lNIetCMppXRIPuXHJMdi0IofLJmnKFhTLjQVa
yLlDmIwYvEdp2BSMiWSzPOKPGUQMW2MI10qI7tBxzXbMSL8gVtzdsPAoMAvrVM58/X79Y4jb6add
mM2KdrhAAHzkxJNwRFlUtxJ5lWBrwOwQE0zG3Zol5ofZDeM2qdzkkVXNj4ialIuu7s9DNNmbSZcb
MUbhkeecih5EHZDiPr5VHshphkAFByOfrCr89Bv5hcRtnORU5Wis3GjvNoDIEEx/VA7LXx0RV13b
dH8IRTNnB88weMdRyK+ZqbyyVqUN+D9Ua82xNksiB2Yx/hRGh/1KtBcP0K9S9riJxXrCsUKGQvEy
Gw9DASrLKtUT+FAXjsGBbZpx9nr0dnW7H3MShJobhhqxSaJ6TehXts+SeiHPfo+15+FwhIYcMsnL
84M/mtPahEgPdN/9MbpoIXBU0F/J4cItIF8BJj3XrFc3PQja45SplHuJCQG/O65ZeybUbCLMDfVQ
smNBzBDXZ8LV/uzcNljJQtjnnHTuteZrPP/5R6PlsarQ4LUMwG+xOz2aKXBXKqeA6e6g0nOtve/t
gMCBgDMyTkIsq4hSEvzMYi0r4xsFLIwnTZaUL6urEYFVrov4yrq9N5dNfYsiKHAMfOJuvWh9sndK
y+CDdcxn7WGe8Yocu3EHPr8cofC3EnaS1XrOvSWo5V704avNKObix1LCIpphA1OQXZDMbhOgsXfM
GY/xoGICTn7mZfDQjFH/AwV69ZBkxwrOpO0h1k675BVEx/yU2NZrR9H66qHhdTSSLQvv+r5S83Dw
ASU5odNeyoohtc+2OFFRfrMhIt0sHaGURq9Mwc1vccp76Anrih37k9Gilg5MaP9obHAA1d15zuX3
jGjCcx5WtI+9dRHpzIzUDL01s93xiSxb2l1jq/rc+GQB9qchGLF7jxyA0ife6a6FVa4GdVFtfZJ9
lT1i/k8f//wvv8UMl+RFvfvz75CODQ8iZ0+iUGXedMzcZRkonwkBZzwQVO9T7yyBBeKbL7pXt/AA
0ftA63AIQv4IQuPIOkatxyj58pogZBTCbtnXzjPQXVjtDdyHMEIGSXZ7rOR6rpr2qQyqjz5y6pXl
YFsudDNtfDeiFiymk8Gb+zRVnrxY1R11NnkP4CbxnkSktVYjVXydAwpP140S5QNRiNbDCAhBFs38
wjn/ZbfGsUHRQZgoQ3RBzbNnC0aBDluDbGqAJlB4rYc//9Cmth4g7tobZmoEuwzTLs9Z6g2Za+/8
5qFxB8hb2uHDmzlxrz3PtZONVPA4DDeUcEsUnmaPmYq0OXVJVhyyD0HtNJKfc+sHWMWqYRkUZ1tQ
o6QMWFsiTir8XR2hHcJHs41+ICZtYm/XYbJqy7Q7kcWCnJmDjKd526AtZYjedfvad+bzYLLoJ1S5
37MIgMbvht4jKG3en6j3D5Fp4adHZL5gep5Rb5yyJG/XZkuWBBlYh3BmPSCiMwcB8lfpQf3oR3Xz
CMWcCvUx0XStbc2atzBwcLFn6Z5qPgUrwoFEoCl4GGqStlKRzEjihh9+1701zuQdARnOONhJU7Oh
fK6Et6wWFLm67LQPgcc6SzlBeogzhM1zZH53E9rd+J1aFV0EaGPsb4G9r/N62pcDxihdP/tNL158
QhNova10m5Pnt3bn0jyXTAFBBFGB+zZaUzyeWRLz3Gd98pjHdbm2Ec3iYLA/IXalor06TRTtQ9BR
NNHVJTMolBvJYqNk6IjSnpxvaLMnqxaXukak7AzCOzvTVJwszrqu7rvrn3/0ldNdmeflFxl8FVCI
LgF5Hl3rYtPVFiKwfPxdOsu0sPfij9Gqt0lZtsea7dwGJr4HajUJjwNkCDagzgUJBDwpopjWOfD3
B6O215PjGcyyerkPe6EA+KAORQg0flEvr1Ok6bPlF4+ZncgncmrJ90z1heen2DM14Z0sjBy7Z8vz
bI0GjXxCNKdhXHJ7jq62nWPwCIzDyJiLID322B3sxqss7HSHso7WZFru2ElCO09MhcyeSBZOs+I6
dJKfdVt/uG0dQsSJhiP6i6+UZuSag1CJiWKE9iEoZdL6AWuBu1UFOQ5S+zlXX7DymdOj0E0K1G/t
e2IB/45GhWYhnzjqIhBJyukvNhfkEAdvvRMYjyUeZry+LaJlce4rvgCWwx50ONVf5Kz9FVCQU9bq
4N76k3Wux3ZvFOJs2CJ/DZOUqDhtQK+AB3aejeiN5F33FGftScyYKRkRk47pTy9VNpQvkA4FWZIS
mQw2EZcbjvCiZmzekjI/dvCuHe8zS+BOxalsidgbIaC59s/ZUzDTTPMDhfMvq6ke+OXWWK2iJWFn
0+ct8hyjwBhUy5UQRsbaKo+2CRL0FTPGY2YwQwnlnDynJCs9Nw1hhPlkAyh1iHWbfzAMhOPjjASY
JkHJWdW+MAQ3MHbL8ZuIPVbMeNuwD+GVku4xdqAnsG5n8iQNgE4zS/eQ8elqCsMONX8tWZY9exVZ
Id1c36JSiDV3shLOonpH4NVPN5el/ZFEyVl5cIeJv0FYShmGNljb85EcPWJ8SthEMcaQETzHhrYX
tAbuPFZ08I0sMCWrzk+bTaWsXyhdl0V2+S2r3EM6GC3umvxA6Zsd8o7EBQfsj5u0v+zJvfuxHr+3
3mdRUjr3TD1WrTmZhyxsuyt5eNnG7oafs3bfuVDw47ZmDThr2joyWoRyI7F7Js6HbgHRUKxUwegj
M5i+dRN+giScqNvmcT9qB4WtZpLmJseA0K2NDWKcmQ+BbxVJIc78y8tqLojlo8JoxPVgRV/UsMuK
AzN1Z7+Qicb6P6HXIBiImTt/SD+ad509vk6TdB6noPgScvT3CHeNC2af8IKoiH2QRgzB+M4hxX2n
bZsIP2MBObpEOhRN9zSPTHjKGYtcwtxtx5Sca6X1LIjUU39jrPg6DAnWdm0+tvkgTyMJIu3k2Edv
wqk1I2kA6/FA2bLkH+BZawdpbGQcDCd7dtF2mMm41vMODdn03oofsWXrM1kuGxkZTGU1eWudJ1EA
xFgbTcb3DG6xIXRLLEseiEPFk7dzyDexlsIPJTw5Z0FHshF3qsyGExMjRIK4/UCAVglZKXFwLZpf
haynk9eXm5L77TRZzUtO3sOq9smqYgRck+KVvJURZoe41jUSR7c5o6m/MMpBJZoNw84G2HXNg/TF
7+OQExpEr1DbIZh+DVPcXYpACkTW9sR8KZen1q4Wh5HaWRKvVW41bBkSE/Q3TQmoooupvBe2Q9Ti
Va7X5Boik5u8V5K1NnJqAX3aoBXH7qUMY2zGujJOud+C7e8AqjpthEadNABjgggzgRCj+PKGcycH
cxt5RCSWyKm9vnme2TxAAQMIqsIYVcaMNAPI582M4Z8Dmzs6s33NFLo+y9Dowmh09kXb6geWCsbR
C38RP3WTPp6cCEl43OlDUVnq3BPTx8AwwlOTOPd0aQ4iMeTPWZ6x/kM8sbIdYovxX+t9URpQ+BIR
rsA7FIRyCOb2wdw+fy/sIQAAOlTrSJv2FZzYIdTt93Fsmqtuip9lKrHqOlaxk2H7kAEOBo1IOLHg
uwPxab42KYsacE5maPXPhGji71RTTkFl7GQNWiyFOsOh4WlEIDMPElPSlTfOJH77FEkUxMMVYfOa
1Kn62GlENVnqQgwHUEDRgJcYLxJfgAdKnuVG8ECZ5o/pZ4iF+N5HhGwnKSqLsLX4GQvDogJMAQET
1hDCctlmZL3fRRxgjMieQ2ymbzn3wDYs5+yMCWHjVE7yhNaIY8qVLUHHLdZe3pedwAt7QgYx8xLS
TTbhWK3JiVsgWHJ+gYH7GudNsQXsQ8iiGxmbTscjOKcA35sc3wenJ4qmTwwQqKNzNQACreaepGPW
lN3OdpmfQsiZz8XIhrUjcHHP7CDapmDJYO9yRhi9dWK+2O3zrMeYauDazBG+/vWUoDUPtWEeTTfb
jTpHtKeyz0reg1w9Wow374ph9UY0CKzr3mmO2vWwAmKm2WjFU9LgYM+m8D0NQBAl3oz5M3EV93gI
ky2vsVwvrkk2pqsqLM5zaMKMtBbKHPpC2Yjv3Rjlh4ZR/rcUnlNKnRfM1XAKgCJEssKrmbcFfIzx
yoIm23Vt8oQYcMKGZL20wspORlFcZ0II6j4Fw1+jirQWSEARJxc4xztWUkQzmxw8iUcXmCEoh6QB
CSraI9CbmH4vWT9JSwnCUzuM/VtZo/4dgrMwcr3CHvrZ+O2z11Y8/OZnRaLA1iyGUziY045j8Tim
lgNkgydmwtN0YF/42vuAPQUl5GqsiHDrCvcTAx/lic+tENLm7gcozSpOxUYFvX0ySGTR3XqwWL0B
gx4W+vtXmRbNIRDjPUT3xUrqm9Var9BLBmz5/iMzc6iAIoZGZclzMt8Jg9WnLrUZ7DjVK/ohtcvR
Inc+ISQ1M9Y1thE+HMD9sMZHw0LmNiTmYU5RcpFj+QQLsj94Qwzq0T60Tq/YSLREmZVIxGdMSPTP
yfCMYbXZSOKo8Csl31M0seMUJcdICIRrS5SQdGHykpHK1CB9TcylJhd9QaeDHWPs7UNKMDhLA0B3
ZClDfrHVCXUhq4c9PXW1zSuB2pq9/yqY/SVByD0oMb4Fw2DvFCG/LO03tcb63lnsNfPyuWhdf8dJ
W9D2rdGBV3sriT4Bib6PM3EUJhwog0iZVeECYgnVYy3rZR/cxo8OendXNAaYFTyjlluyqFOdxRBM
DJfKgA1l2HcMGt4V/wC8Zcsft46JsAsJGIuEWoKcmzoOM+5X5brwSht6kZBRI0yFhhGIRSSfKiv7
maRIhQOX3TVgVGgXkXmgH7U/IUFWLB8Ctc5YcO5byzLWBHSgPSvZpU6UxrJBxEYsCVDznoWXgd2S
f9pfEpcUcaBjyAxBi+xEW8Aq8AxrYc9i3QoywNkcNoY/YGKX1dHpya7MBERcO2aiLwkXpmlX+8B1
V+ag5DNm/bW2TEaV0Ywhoq8Po9TDVhT4d0QOaYKlEytjcJWPqc+1zFiStZz2bmGAPcVUHLl+p5pz
UtsdxA7mhqGQDApxTxfvYeT2NPqEpupZ3tgcY62Vl5Tws3vJppn9cM8ryupv28Ustsknyna5zH6l
KutPgh/XHWnhI0O76oay0HixMJFW0fyKBIWkhQ7psDOWZCcy4MJXN3THuA9uYvTlQTJKWXVl8uIP
WwJp41+Dh/PAFcp5juNU7zyWOjMy7i0vx/Sovk25q58F7gMNE7Qr/eeq937jO6TiRcdGvjWbBklL
TmhGtu1yi5JHDeJY4xky1X8QdWa7kWLtEn0iJGADG24TkpzT6UzPN8gudzHPM0//L0pHOjdWVau7
yu2EPXwRsYIaNc4pvZv1wjooAJIzR0kR81rPoH/wAQQ78dkQQSMXybxZ8XqXdharZ9RSsL4lH0qr
xds2oQ2IhaYtAdsH0Y7DSnlYaK60VoR0zv5J1GZ4mgosJ6okvaawmm4aTMM+aqLtDgsTEm365e64
U9PiTzkO81Vw1AslrRFBGI5bOesQHeMaC1+3HGLYcFme8en2eHc5wt2qaDpOOd4fo7SsrVResa0+
Lzn1cWm3sm4InVAUQAJ+ExEDPySm/gUklYGdSPZcep87STgPaZLFdbaIkkYdkAX64hcSZAh8E+HW
/GH2FNxJFoNuSlPoPdgGC1M1yEASesATMU5kMsom2bGv40+2hoeax9PGmoues4VVXdLFdBudE07W
58w/zM6tozo8DzYlkeOb4Vj9QQ1iZjGUiqsWA2RlGQ9Lp383SVr72VKD/OdULKa22S0LVSmNtPf1
SD7AjoNvHpF9yLGEhTfZNZgf3FgiSAZhAMq4oJASaeNmNFZ0oneoO8SLs5vGSd+HldiqDSJbo1tb
ZGMOAK2tUocn14p37YaD2W2AidpGhJM+kh9jxb7KQBnSZB4cO1m/YkcLPTB43C9HwYalU9coyXym
dP05avMG/npwACIFlvzbE+Itl4QxQmcyJD6Q/VcPWaYr27Z0LDQHx6K/oUv8SftrCG6EpHgojMM4
PC8CBSIdvJlpRlRHOeqc8UdkvUkUnXtgbA1e0Uf+bDfWVjHpjifL02xFwb/ZC1pKJXQmxDb1edTE
YSXxCHPa29Si92Xy2Q76tKnJb5bAh9YyzXmjRhjpDQnFA88FzoukFS5C6UdDX09gB51f416CF0xq
iOTdZ2hjSogB87plK2o3dUBw5Eq9E2H5kg60gnAk+M0yIjqAdGuPzPQ1XuLfmtgz17XAN3TjN/2x
jO45ZT8lec70TXf+60LtHqDMekZqf85lTM0f+LCJtXAeUNfLIvheU2gDohEl4lrnwUsDe5hz1WnH
/BxAT+W7yiSXL+ZtRXMB7elJY6DzLSQDXAV4ypmmD0zTkYpmCucW5mPtG94lDf9ZwFKT6X4YSyiB
qllyMKLiWxW0L43dHaBKgPy55ZDIdZdxaofRwZ/w2nFkWcBaYvZF3d9HUL4kTxn7zvcoBMSDHhW5
VamrkYi+auA895X9tx9Hfdsk5ZEjKAC2DC6z89LETXHkRtKqce2pjnMZcZnohknbrIWJrc0uZSzF
Tlmm/xjdYQ5JGp4M8z/dHLgLmXTqdVULbdygXrfnS4LoFMZvcLowavDi7kOFqVeZNQTOvxXm2jPY
+hNltDccEKC8HaPyOMX88PlfWuIXM6iEMMG0xywVf1GDyh7QYBzObxTb3VqLJ62cOlKkfWmyV3Hg
aHkh8qtOXpk9j/TK9A8yCnN5JNTLYZxEsxGMxLoa5vWL1l+01Q9k2Xz/4cT7oIvPlpSHZ8mPICSM
pws4ESkgdZeD8Z4E/mpSZ2CpTeSKgPMxsaS+QKlUMpooWRswjUwp4IYTv3Fe01r/65DpcWSwR03j
cFFXbDGGieKv7UoRUELYwjpTRH4ptGLYD9l9SDQkjBwjSwKBdDNkiuWFCh4VStCPces8q9L0QSFT
AT/T4DICa9oQ1/b4FkAPGcXsW0Oaek3OJHNCXU+sNbMgEuoDgxVSkw9QYyTfRGtiBHKVxSTU7uTF
Btc34VBAd0RLcY/YO0zRHKw7/tcXnoQODbIq5fOicKEjwFV6eN+53yZ3emHdIEl+dcadlAoFm74b
yUet3w5ZhE3xVOTDvR31v7mZ/MLDWts8Ez8ea9hcZvdjOhn9ARE8GpMbjlTo69Wi8GS3YBhW3OjQ
BNGmsvm/gLwMgFt5dUJP7YPffi4+TUSMzlF/1RhixoyFwi1h020MhFiXB4zdmMZcmk0cXzjcnckp
l/SY30A0U52a1o8loPpwkfFRi41neA84jKLpqdCZjNLzxh+kK2+D5bwAyLkYFT+CsHIOGC1jb06w
xECi+UI+uduxsx8WqKZSTRevbHG6ZVpyqcpp2C4tc8C1CxqTR+LCuXlwdeaOO89/jKZ5bUayHmC/
NgWV0tZMt3REyTSJ6BPOG43xXU1/pHErVd2GWUwAzsyOGUXV8dpYbXTcUmpKrBFz2u3Q0Xiewc/i
RDdeShgJGUecoaqHbds4vrSvuuK8IHvvp+xqUJhdU5ydrw3a1CkCPnVgmNAZ9Joq8TPxkmuttB/R
2r8dZsOZ6BXzqbWbuzTECmmr9k3JNAg/3DZaBy9rozfZkeQSwemmi3Mb2k19MYnlry3g4DCKq7k2
g1enZOadNu35PTWbwkuSnK0xxpsL30tbG5R2XQ1BwToQ9x5PztpATuQx3GWUklf/eNXUlGtrX3lm
Gb+FpT1hQDH25ExGT4WIcOw7k7uNTZtZU1P6PIEFUnJpfkbVL86xaKtU1cJFWWzpaWwOEtfYsaFM
HWHnHQQ+XMipqN5Jw1CmCdyVdllzXyUGbeycFFw7ISHR984LoGnWAVuHYwG+3ZtDalZyQmzHZeJS
v9R0eRvc3wVCQNrTqBwNKwT4OTU1lVu9sQ0azt3NqNg4MU394jDDhn9MkxoV8yKmax4xjWAa1QY4
d+iq0sbm0vT2gXDZFGW/g1Zz0w4N63IhxZBv67k2LlkDFbs1+//4OVRPGBA6t8vN5cSUbXSrzjS3
drlyprSJUUorMptkzIjDYW6dg+SYj6GZxw1bZpshvOMPovY+d+gjDap0RywBSpfRH7qw/c/CQaoU
+veoMU/uFk8vg8OYBRf1bztXnlYoTxLTOJ9A9xFP0XGiazzg4IMRVqM23gXt9eVk/RbI+ryxdaw9
RdefzBY9Lmm1Y1SKnx6gE1OtTzpOge/2WNVj6ZWjfu0WhqRiVH+sFNsW12a4TCuaP77EivWqNCji
zZo6ySRaUjwE50wJ/0Kiuqh4T11csW7fI3GPOIniGPsq+jPbE7SZNotOoWa9sTgIdGZkK6e4YFS3
KJSbaYRmrd5EfXi0NPWvI16Vpf5rTKnq2kG+fpcXjdcnNS+Mkd7JH/sGbAxM5WSMOoyHGolVS97p
zGx8haA28/d0q7Y2exQ5kw7fZoQfzx4e/bfjIJQtmuB8Cq6GG/GIWRSBGu9LfKL3kt4/G9OjjIzU
q0flhRKPek+txr1RbcpE9fqDSzkon8AG3qBVtHl0kTtysj/gd9Cf1a7eJ4uZfGVrcF78nfH74e01
tIfdU5JKWt7a9fAKuJCIZBNlpnUGdZm5KariVuUXTVUN945amVPSTo+W4eCZtoFPTWUlSRCVPHrF
ORJy+jlPA5ZZk4u/L0yIM4RONY/6IzS7ur4KqwChWBoxFD8AdCPSHs7WannRA+PLwFhwwgIQ+PBb
BWtqBhOdiZhXEe/PjVi5GONRgbIx8HxRYbXoJ6LD+klqC2VJpdwHSRU9K0xN0jCqfN429nlHy12N
HPrdaL4cB5WyMwtKR1vjTRPFeErqDutg4hBKUylJ1iy0PAJH1yDumDYTWvLJ1WOa7NaxvbSiY8k8
pNLHfW5E/RfcWQNK/Qh0ao7ZmaccapQ9Tx5QMFZzrNK72izw22AkJK74H4gzQYmb9Ah5MTca4aJa
3PwQ1BieZnWk+VEHZKBZAnlwajG4lTYmPkxLtrB4oXqUKipPw/g/lOtQO8vMnVqmly5PXX0e+2vi
lN1tJAOJMQHlmADto4B4vZdyIt7lcALJ9A8zKLmLpJMr9aQ7m+hQXWUrZ8YeX02a6UxCYfi1Z3ws
9Wvefiy8qeA2NxU69LVQ058gZchr4rNHtjgYSdZ8VTJY6UWi5XYWjS9FhvGmF9u6UV8L1fyzBDBq
wjR5I7JXIAv2i8tM3vQKte12bMe8j8SLn4pwXp47JtgbI7QqOv/myA0WffCJfUnfpmFjUxVmeKWX
4QQqotvDV6h3wUJVlyCfRfFaOL6MoTxH1virqGGxV3tUL20ynGNiVgT52rzZxh3Ht006FXgtINl6
Fed7L8uZJWPnxVo+0+3WYYuAyIHkjW83SLPwhQ2reh7m2luGKXyZFn/snF8lysiSLrDsQguO69LQ
tTDSS+ut3THvuKee2r4w98ZqxBSl7otuJuhXUzdPqVzByF/uLGnlPtPoGmLUPHPbrWdXVThVJ05N
c8WgcZXkor10+ReYEXwC7VoFXG/rLAkOaZ+urbhLtlc09ZYbTnipAxB9SeU4XjkrT/QOh68KpY6c
zU2v7eE662p9nXkcfSz38NRVxlxzRMth3DPtqQzz1MZRfYRwCLapmyxIY6BNOL+BRVROtgzMA97l
ezmTE536AUBCk9MMZ7VoO0bqF5qBkyBt3+QKwWppoXtyiDaomizfmuKZAfFVtaoMmeiMB275jhN0
cYdkakXvwBamBDPslhtAYOQKJ5b4PbEgSTfYZ9CQEXd4j/0xn+b76ondlCFmOMXSd8QlabZFkFsP
78AKMmNfMoZ0+jSjjppb+8K/Xm0gRUI3gkB1Ti2iBQ6XjbuVqi8hjOHdWH7ZvQn7eJWSjUtvdgdy
YPUVfTPfiyoj6+ggj2arrN9ZWIsiQpbUfj7V8XrxKukhN9vEp8+O62Kthzuzoo+mC+d+mxUWP1co
xGYbTy6N3gbPH/cDynIgQWhJdoikxrWvYNxrGhYt9lCGo7R2waDQ4Jmj+1HMFJ8s9X0iV3DOKri2
pVEbe2LENBXM2dWegBX0RIufqK/zQHEmB94u4TbQCLcmoQO10+e1usXcx100XNvAeI178UihNS/F
0vxN18XfrpV3VYxPPdjgcxSlv9mk5l6tWicUNXVbhjYTeQDNp39fiFc+SoOdpcWmwG6Oo/EjwMN+
RMIhmjoGBw7n4XOZL/8JU8L+K6LPqM7fBzIE56WczxNDY2puxJcE1UFQk9mfEWqHcEG6hL5h+ZHE
WsImBuIDPg1ir/PCELraOs1S7fqFQ6TZcNWO+6q52lz+npRsPGkJ6kRVjE8xuYq0t6rnzPqq4ARs
QIZzsYzU8thHjHMqOlAKNufbMNhnSx+VQ63WT7T3aqAgcRINbeLh0A9oj+X1yGlPpFHANdIlwMTe
RZSlqomvdDxJEqMNs7hS2SxoctdigaxpiVeJq80Ka5auWn2qVxe0oOpo0duX2oLkV3VDi0/u3Uav
ooiCJ8hgXHbJK87FOCzt95ydyhOV5VZO2N/wNMNv+4HXtDyCmT7TbOnfHItFBAVPUMiRtic7sUhr
leG+d0wvVLP0yaDJ5Onfr6g0Vq96jihgpldk7BEpjR4E0WU+xjZJMQHpqTmkq4e1hRBS1sOZUvru
jBi2eFFjk7AZ9WmrjwTWyGKjSFI/9CxOYrS3wB2j139fCgsLQTT5wMbFpV8+FCpBP7FE1vtsogG+
1+yV21k6295J5bM+wOKoNSSTf78F/NmfrSCi54KWQVwdX8M0MSCACrRha6P010oLV7eah4YXwqVK
ZyRSjvKylM6RqWXxiKPlJWvs8iFJ7IWBOb3gcIW0puXDDsNl/lR15V8t2OVs0Ody7Bc/UzHzJXzH
pcjFMQpkvv9vQW9+WGZGcisWX0NSjjsMOugNUKtZSs9Sb6NLHLDRTzK+4bgaN3TzuRlcWcJ75vDk
1M1TYPPxRX0x3PulvDUN5G9t4zlCjXz+cpxJRdh5FCmnxyLC5SFt8KP4ieZzj568yaggJN1T1L7B
6+jS2joccZAGT2uRnkbXTTA8DBm058gGGCbLoKO0OG2IAjU/pcVwHcu+sqOTePIF7TaS7cxRkmAr
rEXci3k8VGrzE4TqF+hcGNoLurIWNSUKPDMQGGx+YkmJSa6QuwgiED7j0J2YmbDxdu+hnjfn0iY2
FnNhZf4WAr7TNZYpZiW1+iaKlN75XLUPSscgSGtwTqahoeFcnLxI0dDyGQMM7UIxfcf0Ksrbr3kO
UXex3ropsVQGqoM85ZijDlYmDkpc0YPVUQA1JcbPErX6pVX6efOeugvRm21RVd2pH4EJ21g5I67a
TOSFbJNzPaoC/hF7sKyZ6pb/ancot25ZHuHAq7VbAcfbDTS8KJ3zTsA3O4eC4u5lpiLrWQrQSs1U
Xi27L/1l7BO/C0x8iHCxb7Ou/RGFPR1Ey6aBz+SsWN0thgm8h3+yUJZHKMpFDNs6Bp3FEQZZtbMe
oJJKvyDWuq169T0M6LeSFj7C9aAyqwNfDOxG7UTuTVodo6ax5/tOkuNAjz3Iy/IgEHV8TbSqj3gB
pj7KNVerCG+1lmJuZaBTI2YqpEpM5j4KKXdgofmhY1Zb2bJ86HaIj7Ec9/HEZUgfVzLhJ/nCZlcA
09kNXM3PENf+70tI78uWOYRwW+OzmFL9ziSgOLKkQiLqhu4a1icNfeEY6/p71V+FySEgbJrwMPKf
UH20pd0l3Q4tDD+A7X5ZO/OWQdcOxsS0L7KCplwrMw/N+tCQWE3emnD6wHJ4KPq44/wic/RlyLsB
9XmgnzK/yVmZa80+VyI9EGok2jRSJtMiNJ2imnZI4LL4MzRV0APKiXZqNZuudnJINHLRTyMtY4ee
CDt6AKTLndLrQqXkaYOOjj4j76RwOX4tJbtlEf9ntgHzjnk4lasFY+iV9dIDDQzjQdR7KtWkR3ii
47FRCJluYgzaBKcW25XrsyRh/wPQ12geihYn8h3u2RypAGkmw/wnpJfySPBhOja8GuR9+O2/X5k6
peSkkrb//4/KIfyvmEk3Rbk1HmPR3KzhM1wRf4sxZltRNvtWGRg3LKMvlhLxNWjpYgrjCiPV4Cej
Jp/NUlL6R/15FnUr6dHIH32qc+M3ceXF5o6hMRV2lGAChufcpZ7LlS7T1s1r5STBnhgBxPqBLEEj
PyRsCx/h8pwHQ3I045HCbXz1qo6ujg0MFSNTWNUSBrlgyly40C9ZYdusxU12oD77B2tEjVVZq54U
nvAKTKgHToxHN4h5kgMIKWS8cg4Atr5TJxMXlqMHgD+0YFu0ofDs0ijvSUQh49DUf2UYviea0vmW
OeUcEGN5E9WfUayRgpbjB2sGh/82xkVbvQlCSZiJ4pjPg8rMjlNMg7dUsS4LZ71Tl4SAIQfT8VCp
n+x2VG9Knqm3GEHjPLfMkIMYnhrJDIO9yWc0TElyH/+hWgsE9CI+DFPfGX24XJj1+kQSj7jIQrwJ
/Bk11WwOuwyXWfgOlF+a2xSnx7Mdj6GvAs30uvXkluQ1LWiNdrG7KXsHwocFhe4muJw+yq5w9SJn
vQ0s8zqYLLFdtbgIddsRTzFutaU51rSHHPArrK2zCWZQPbmndQtjUBtc3J/GqS8zmxUIp2+4vKtm
nn9mtpoc6HXnhKVUvP1q8ajN6SK5V7ttRQHG0tGDUCHZDfB7XENH3lkg4DB11HXOSlF4I8Kas4pM
wQmN/5cxiwm9Dx96qLHA9qGWX5WiW3wymO5UBxku+uxhy0rZJrZDbDrKnrNIpxNXnY467b07Z8wk
P+TPoZ6XlzLM/yS5YXicZdKt03ZvcZB/L3UAaKmLT7MF/aCBF3JnngH+o/hPHXqwgxQ47yfNwIQy
L9NdY5wcM6A8M3vu93j0WeAnKzlpwa2bnJ86HeNnp/4TD/hXerYpv6bKrZm/olYldh9a9V46167B
WS0bBOBgLcVxdGd4Z3RmekiYUOKC/nu+KTU2xhG79YhSfOBTzDalaX9NFlIsw1dXyjC7Wo7+gZfG
TYJHHY/lthW95WYtZnaC5Odq0DAS8PcbAD1vTcqlBLYzbmmcTBP9tqFbWS2up5j8n7Jcx7Za0K6V
r0qoMd6LinlvHSo30+4zX9Mq5UJcNGVvimF34h33TCsPnhMuEBuDwgS/L+LBV/Kouhl4IHJN0di4
+GTrnmet4PSxnyczIh7TvjTjYj2bzLgPTKBLrNuN5VIY8M1tZs8Itlixip5q1fM1RDeYCOU+4VrN
/TyF2iyUNKL6OA63hK6SHfpBTg7+nbE1+rvBaI66cBUL2gjQyK41N9IoeKF3h9ka6ps94ydIKsXB
ketEQNVSoISatH5whe1VE5dM3zT3KHTs3aB/GtA0QfXa5tssjAtEdGzxKBNPIxtQOLMB1U3UHUby
vOQxyish0s7jFP83s+TyiGIgGLpRkzMshmSfsL6yCfIn6G3PhF+JXDFzwZrDpTuAgLvG0ZhcsDin
FCebycUoC34QNStor4T/RYouj7oIHjSb4ECP5pLaOGJiUzh/1rMe3hdBgTqVxsL991t7nsUu5Dzm
EiJAfeCnvcH6OTCesJ17b+/SJjOeqC+qqpisyb2Rdn769xvJNOosh36zlCpzCdMkzDUbGtXV80IX
yIRMjTMDZz0DZsPTAk7X7BXMT/O1uEmP8KiLER+hPq8oHhusUW9DqVWmy7B+icxw2YT59MKlgFEU
7tSd3uvINsuBuIl2b03ZP7LqjR2ayHUyyh2bVPqiIZQf4pAeQO7s1dnqjL8VWs0jR+ENiuExKqF9
x6HaKvgWhDGyCVGe8YgSdb5YY3FPTIdmgaH6LnNcaIyvKFr0Fz1E4J1opBp1ximWeY5MqgqcFEOt
k1d/kqSvT3GyDSZBQQvI/k2/mqLK0flPdglTg7BxwBkTvOvFfdY07dTzmW+1yTmpI+JNNSXUQ+fM
v/SpfijKwKW2if22sv6uAdqhzL8jYUu3bYrJN2S170grcjoodBoi3TJL6G0mxuXOVss4O6eu2NC0
8cgasHANcvK9EhHRmwRQKz39Yvbr1mNHY2KAW0nCkyuhk3wa5Xf4r1ZWibuXKoiGbWyXzgZXMNuq
0ss7RTRbZpXpye63ydI4R1Ez1tOdUN1WNTAqh3zuPiY6saUdQXWbEdoRaCobu1vqyaKqz2WEjUY0
E6UXjlZiMmqzIzHruyJAgs49qQgwpGj+YuEaZQKsTqh6EfZqCaYJxWECvYlS1FQtz+2PhEsfZdss
YPywuFLTj0lynFm4/BZYi94VorhcX7/w0pdvqooSSXHBzgbNd2tUXlvF4Ok25sF4dbLpNtlW7yqj
zXzKjMybaQD3Usv8ntp/wCw4D1uEBSzgcTr9+y0kLiIPKTZGK65qL14vg5w2qkdj+Qv7K3GIsMCd
L16agQtYEyI/RlZ0qWOaGdPR6o8aYiR78nRRFpzvUUVaZ0VJ4sBWIPCid+EYU4rbtIWEHPzCogEv
kMR0ny3jzzxJaO0Nf0gptPvIlKrKulvTOuFr0LI1d7aLS0EcgSl0276RumcuSQtBtpdXrNyDi3PB
vnWMGTcCKp3sihYuBM9vFiqkLThUh2h0fkiyBrmy6TwlQ3LqQE9yJTGqj1Qn4FA7bcMmsvww8g8Z
Y837HqaO3cb9IQPVRi0u31M/n5B9dzCzmmvMqi6NeHxUGGU21YB/LNUIuawWSWZJJp7Ppd7rE74u
XWSaV63zxL4aDTIppgHsQM32Yy9vVt6RV4fHD6NM/plachh6IE/a1qym5tqOwGTwqn3kci1/iLkS
MDGjti3noBPJS2Zqr+DF4gMMUeQTZkpNjQIpmHYBQ9aeYzugX3YUyQG34oKohpe8wyekkjIvxvm7
jaTu6jlclAJ2L5TNHEdQJPZ5tmSPZeCWE8v6pUOpN1g2dlHNNbs1Yoz5ansHV39kx8ZpI5JHp6tc
9PGXlh0duuXIG0+bXe5JWkJJQ6HilbYYAKLaRERryyS4H+wCu3/KypKAfyzucc0dg1PRj1l3iB0O
7U6izT71jqIYRzLVcwaFDBgYwjn9C+2iAWVZLtuuyokGB2l3qkNQsdkq1y0AXEX4SusNrcWBCk9Q
p5K0z17xYOEhxI2LLbXcK0kdvNhZv2tnBcpRnv2n2lBuQ7vbA55ExuGgskmmVaZIY3Cichg2ekHI
08DThGS6D6ATeRGZWpdIMw3zi74N5mzx4lTXz9OXrSkTSwEVz20/DNtOqZ4K8DIbnnGa8qBcOuGK
jSrGV8EP9ikDUXqIbO2rCgDRqBYckT5eOyySj6CwTd/hY4oT7h7cKxBIMBY/4epUvD5V+MgX4kum
5hHQMV5bRZB3bqMD+h2sqIxDwgKX6Myx3tOHofwKRj7SnGvWUufhnjtFbPWlW1g6pX9A/HoSX5fR
oZWqI63gkwAgXVeVO4cm6pXV9I0hCnqPGcNDCKxvmFbFpRt4eTki7Tlc2itMKvmxWaiTfKakGEQJ
ENdF9+ZCd9yZpM1bFmmICrVQvyZtekm0VQdtOaklALz3RN4+gv5W6v3yClLkb5nFPIIMd3eYYbHQ
m84t6XMG+5D/MrsvvJSSii2ZWV9tVXIIqf0MIcg6QDXHW4HwcoPCt08Kxd73KVPWIc13tpzuFoLQ
Rhu0VzZjpErYu5AdVT7NTnHhCGfuMPWqx71/3uv5dCYJjrXAWvbhCBPToidqvaFWXkCI2NeWudoo
0bTvdCN1q9B8A5d8VjW2YLXJ7h0zKl7FQd9YA++pqoQ3qzFrXxBPyWdMJrjFP6dOgxZCdw2XlcRx
p1fQneUuGzP0kHWKS8LoyPVcP0t4pOQbeM9hAZp7+rdcM4i5NOX1UVfAxRedtZxJ9YIpDnhHHanM
pzGultNK0segVpwXC7wgE+S3TIb3LBzSb2v423eR/l6YUMazVGwsbVqnCIqyaUVabQXEMB95ir9Z
plcrxvwlVTEdLdzthKG/9CxvPk3FwCWhWuFFx/wKjQg1sUgSQhuFwfCOS9qzQArilj0B3Cmjah8S
BPeLvI/xA/eA+0VHi6ux6QKZXgKIWCQlXxxcIvtScKgoVIaTRYfvyoyRFG3uUzged3r3aMZkuDmx
dJhojDdddNo1m9Mb5U0Fh2+aBTlS+nmtxXuzT+TGBMTjAh6H8V7ll2SJ81/GUN9FAuOqTph0FcN4
NgBfujlklTqRJNE6IpeWJTfsPcCzuMjx9DFYNC1F3bV2GGxn0T7mymZ+MDOvRSagscsIPAMRUe/U
C9zJ724QbyHlb16PekolSiqeDK36SWLdWSEu5UaVDcMBMhkvaSyZR+IRj5S0pAgrG+gptvqrNWj+
kOfOBbt0xkRZUwemOhq+WqJR4y3Ium05FBqR9udmLOWJg4Xh5uyVeKJxpen28kJfkX2vMTQKI8XH
H1ZP9XoNJFX6if1KsjRzDstnvNiUt4RnQ2DZasO88vK6YlGTbeODe9nAzn7/931ZkYBgG6lr5x2d
W4TGwIMt+h47tLULYq59hV3go1UIqW+c0Qw8KAR0WFP5cRxDCF3SnF6nzjk3qn4HqP6tpBV5kbL9
sNa4ekWYH1+/+luvcdoO++rGmOruEBhwtypNo4ay0fajym42OACSjbVSOE4u/74QUQ+8qZftQz+V
tdawUwTZjuJA3n14Rs9UNSgeeZ38CYIy6QttjuiAgNqwDMZltm2eAE0o19Qu/qhDNZ9UmT8SZ8jI
2uRHafA8TMw1t0PK35LGJR5Y2pGGztYvuZOleLNi2gUr7cniQbrMwnmowaknSXAEmnaUTObyoLSP
SjPpzwOnPD2j949DEV4q7PGS9KY3ZdqCoq7oLoIe0RWYe3sFG6G70qg3o2G2XjrSsWPONZN9my4N
WhR8zbJsr02rXWWNr3C5FVRKRCET1fhC6N1vwd5glXgoU5zfSyzir5FzRtIrt6WT16ypdnlhvL6V
SaS7YApKIgm8riQcV70d9jm4Ia8tcD+amn2qU0y5Zo2LaeleIXSsjTxcp9POmfaTPrAe4JsMuit1
uP1nmZasGUV6i6a59DXFad/4B6ZRwNbIio+G082WeqKZOXQf7ZXGQKFaJZAhJfypZaXx3EK5YcyW
aNsyniOfdjuO902gIwNge6hTxddxbu31Dl4+u9jW0KL5XNFLsa9n+5YnYjrlEPP+lR2cHXASFNFC
GZQ1YKY46kHiN/9VdcvwbrXBRfM6FiZVvR+6PccZEiMlDETb0s9hfQso69gJTrheBB6Byu3wtAbc
LDVOT8PwbkxZcrYr50epqdogHEdK1VI4OcyrrVEtoy0z+Iih14zHO692C4/wc42tD/9LpO1bQffk
Gvz/92WembEVqOGHsmtUn8Em5xFK4I54amuie73Y5bTARXbBTB/h3zWK21Ji7q1S0kF2CW8jyMP8
lGTLi6LWiAsBUOtK18kl5c6zM2swE3OcaXMt5YO03Z+R8edmVKb2OZlyvkCcIAk5vqjyzyLy6XkC
6pfC0j9WFYcbaWWEFavW8J2usXcagMUdQZ2dE+fJWymU3yJEUQOKTP0N8dU06NfK+CU611ahb4es
e5lLRTvR1oApJQiWTzHAKjDTmr2mGe+GzluM+xX/39Z04vBXt1pummqisZBCNEwnTN6Y3cHqs4Nu
QNh8B8kSPLIAg3nS7VBFjQPK2Wff8IiXsWO8BWljbgfOFRPbFFHRqHrELJ4UgV2XVllOgiy9A9bK
JU8orqrxn2OY1YM2m3dTMMiLBqw/ABZEdtWi6odSzzQJ3xv4CSs0xtoscZrQBGYVLyTcLJ5FIP25
XT0rdXWejQAwvw28Do6+Syfi4M5JlyJUgEZeCqZVLLyDp+aJ3C9pcSK/YmzN5X/UnVlv5Eibnf+Q
2SaDwc0wBnDumUoptZekG0JSqRjcg2uQ/PV+smcGmG/sgWHAvpibQjdU3VW5MOJdznmONe66xQm2
JIcG+766HrWohHCTUWrG/UD6kVg7Sf8Vub3HKeJc2W8ZQMFQ/yaR+S30XzvUrDur1l9NZZZNJX2u
VO4x05JR6OjulPAEHsr4xhtU9NNVwQubhnqPBCRF/hHZN+ki7wG1gaAAJlWBhD9mtv8O054IsTxQ
+C+scWWNxr8ZfARcWXPxxYZsEZepZdBvPbz1O2LbobZ5qMfZhpEDsMy4BEOHdU05ALtJUGq05rPx
B5wFhYXXqfzMFtGfmUveeWFcnytMcB0+Y5Ds0VNm5RtcScxhx/TBjactkvn4kAjecbbjPI+Kd2BO
9vgffQp3rc/sC0N0KKSj9fGM9kay6Oh6OCtV7WJ0GJV3xJDxlEtYFrgkylgyCC9JqJoa7NdtOkDE
k+POTpoHqW2xzaiveLn5u03e6w6Bz7NiFnycupGWNmm2yAPnW7gvV9cKqj2Z1uFBIGycibFIy6a7
IxGXRSVnwQEH7sEsr8Qd6WuF34fqElusGsUss70LI56ILu9GZfFCmZLg8bZwC7Cn7FeN8n51qfUd
034TGruFy3sae5sxw5WeHQ1kFeRsb4okVqekC1DuVAhak0zUxxmmhQkoiGXHMxTaUAUjby64dwri
evsBAEY7PdYZ3L5AtncYeqszf6FjjMjGxA7QFNaiI3Py1Uz+62tCZODcivvKsEpZDNj2kuUbKAbX
XS1zif+UPlf7+iNsrRQFu0r36VSdooQU4IUsr0riomDg//I3Zuv/Naz5P4SNfU//7bvWc5smqv+n
/0xIZ1jHf79TvIDkp/5fgGT/o+s+y3+Akf39H/wziyzy/0JxFIAPY2QdRH4IDOyfYWRh9Jcfhb4n
nUCGtvz7J1Xd9upKM/uL3w5fGQJ0GLmeB8Gsq+kg+JH8y3H9K+MZw6/j+eL/Ckbm2KH/jzCy0PZg
Sfv8abDSXIeB4D8CnSGt0RJ42j3YBVKmiZSyW4CU0SGOFShDWWfrijYCFxRpIrhf8TIvCVcjkgvs
JHG7VmCjE25lbYfY/0J325W+42y1oQo0pFkdWlBj76JAxFBE4Pw2UNGG6NGpgjk+FYG01sCn0xvS
Apy7VITxgQf+ujYQ5X6s4+jDYlVxmHCRwjQLDrCXVggWObuHJXpkaePD7+OEA+2kqHMQDkmXIM1a
K4kURsTbhNSPm36kwCfSkUSmJfWOvifGBym8+aQCy3uNEmxaMkIDhXu8fs0dVKo4Pz1cGNhHo6kI
z2iT+v3cQErOMtnth9CPLkjK5QWEkzg0rmL5HJXutEK6nyH7kBaYQVaMMF7UOUVLtLWIQsW/nTK6
KBHM2xh914aQnB+/VZg+OjwVtswbqLpx+xrkSD1H4NGcy4ltsfehdgsjPJ5OC2CNARnpF15FjSfG
gVX0MmGaKot7Nk2ouSNkY/lMsBJxduZBs3DaFEq5O7siSqHrXVYkAAnZ4uXTPrAHnAqZQjgXN+Cx
4pqUwDlt5CZSQ0aSkAu8CGM0xj/TIsxhnyxG4nlIsYzQQpl8T9aXv43d0rvMbouYc0HF1XH/PglF
LeWxMI7tLzTjPoHA2dcUNu3ewi7Czdm033EvkIy4wLXZDoyn0B7J4HTwQUw6qu5Y2lnEV1Mc6RVI
2B7XYaXclDRGqZ+ZWudPAUJohUtLWGt/CpYjNa7ZDVD9EZOMxQ4AP1vDpKlsTv04OA9BmiUrV8Xz
c6RG/AStjH5CtpS/6nzKLrHB/YR3Z4RHhOH/gETReixSVR+n3gsmvh5ImsbQCtYThqJTMiK6I2oh
OdqkXlxBHPax1LN/Y0NRZXLjD/dKgGqpqNT2PlxfjXMeCwnIlAhHgBzWGSLeq+SCmVtP3IYVz9nB
Dhg8Fabybr3Jdk/IWVNE0ogvheoWYK751bWZZvuknOG/lh2r/3wYXnO28bw0NGj8vfxh59vYovEM
EHwwKFo+nZq9qotPgqmyrZfa6SHp+rLAi0Vk/G5AE7K1FF93E2H0ilh2rzWd03FmFEkEQILlWHlu
vkWFkDJjAuQk0tI8Jl5J4Au8aywlgHrvixEctFw8/SFCCRe+I+cPszkXPZ1+UB9IyGq2fL2syyiy
+GVIQuLPEjkNd8IUy5Prj+CncM9EchWx2TkQO5RXxG/17poDrLwwYis2uEm6fZQDGeuU0Bu4He2x
RFK6nVztJnzNWhorPdXEE0tXz/tQ0IHztJeMJPtc7hvXi9nlNCNSSow4SP2tV6qjaIOnd9gB5ZtW
YW+Wx96ic2gny3rDDyeZdNuDf5ePRXQQPrzDuAjcC48wxHUwylBNfPriB5cUIrJ7G4IFWZ+5x1KM
MOCYOG4XzoabMUV30gT2SMnZqfXQddaZ71t2zDggv0Yb5dE4sK+uJUKe0e+H16QOxGuWzNaG9R8S
a9OMP06/YJpTgw9/ZZlYTmvzyxp09+76sbU2qXCPhRuolk2FEx6pZ1DXK7aiA5qiA//Tep+OabGZ
ixCdQ/IDXBgTJ+J4AXzXiK7bGLfQx4Z8r0cnT/4ky1zRw9f2JiOzmpTqBL+JtlgrsFAQDJKrJb3n
MKjfGkFI+Wq0jcFf3+kzSVkNVsQ+YaynUzkyEkGHvvK6sIJWh7D62FSifOsCvwPvg8VsFy21uRsg
dT/x9hO15jX29Og5aAywZgewU3qU6xuE1X+yUUYbk1nLlo1ldjcobBtLLObXGcoS6k68MoDdHBrx
MmD34HXRtFMQEFYWc7Aj1ub41E5jG9K0uvG+tifq0HwG9xT2+ePYtahY4iBFF1TMbwLI8BYat7mZ
+4aSHurJXVRjCa2QGH8VrSqPLi3jrR7QcvRtnZ/L8pqRPqOJWwkDfR0BiQP/JJyLn1RU3R8TT+FH
v9gWBJmJSB+TkjeEZD++AULqXpIKtY/BsLITbJC3pg6RfhAZT+4WK6qLCSqxodMpvq2OqblDAudH
DL4MVGXlxdDiXbYvHZKk2snhdgdDvgNRFJ39khWF18KZtPuIJWGyiHtLT+EbVnH/K+PJ2PRogz8J
3FHPOozN1kld6DCV7h87dNC7rPeqOwwHJR3cMu6xe+bfYLxCBCxlcya1BTnpIKPbwSxcXlb8ofUV
wYguKrKZ+HtoRFDDJagdytk6CgTTf2CmJ6dO6+FIVhcoOdFCLiXh8xFv2sJxi5XH9bP2JhEDsPds
HrofzdzxV4nXbZPAI0lJ6YYqB0qiSneJT/dj1wPrmDwZ99EAYg//q9gx6AUDYg1svTokJo4h9kdE
LoZ1nQY/YZ2jt3dcd+1p/qCVrIrZvThohbqvvtXjMSpM+TlrHxGrO84X1F/lJQ4ys56AorIeLrMn
uKhW8NwubgeUdCSiZV6VWE7Z2An06t+plaoHO0jxHTQ4ojbWWCZf0lXLvZbOcN/bqCoJBspP2dyg
Tp7E0G6SmHsAR+R8MMBCTi4m17tZ2a/d4t4PcgAKxMtXt4EfdJ8cUj7SmSRqCHoWLr+GbIuIMK/y
4KPoEnkNn/I8bN2VT8+RJFN3ZAiZkIyONQhyQh4eaYOz9jTUCbKbYM6rci/afMHVmk2kE66TORmc
Q+XarIGGqYB5oMwo8xW7UlC19diq9qR5vHKzZjKtsrtwYPDNHMXJeIiJnVoOs1I1tFdCA8UF4lVr
oRWbpuw2hV+ZvjWpLfKvSdf9+8C9T9lpNcg5e3/urxrjOavASAeRxufuo/+cu9AJtwJXbHy2sQjg
zFpm5AsDQWpAtNN4kNhVRfIa1CKs9yj68TW5Xe8ZytYA80uPw+LRdUuEaJ2TV8CtsPUTYUiQxH2s
YsTzlO8R1UMdxMkBe2KQ3SMYdJBK9PnTJFr/0TFB8pGC+H6HSs915JUVIZYr5QxEFmVokr6qPu6J
QZsJclx7YSZexSDlH6B/1CKST/P3MCBje4ot1LbrVsXjOrdLtF3B0HbM8MvJRo5e+c2J4Dqys1qD
TTX3zX2fReoRzsyw06Clf49TpwFRALbsTCzX3P/5FjJSvWtNuJwBScR3OJKDDpkO4barEYDnzmUe
g+NyALkoxtA74RyNdhLQy7orKxAm/ag3rUYzg7IuOQo4Ab/o76Y7MgquiM8wYkaDcQMQi15hKONr
FPiWdQR5rB9C6Ot73YTtbxC52dFYugH3hAuQgPcGDdLyY4iWJSyD0JJVXIB8m0IwaoZacc0kpTz4
hurPLVC/19Yst43fOMTSuTGRpj34sF7D5ZxQ6UZ1FF6cvhLrkMD44zIz4o4VeCCpamiUftruexun
Qhs43aWb8++qXizoMymyOwTjrzJ3y6+xWOpzao/WPUGD/S0jtwbMVtC/Jm0w7nOLNZGGgHtWiTse
0hl3fieW/pV0EIA/VjFUv8Jy8W99nVLCIfxZT1HQb6JxyvbEhPrIYxD5EhMclbcJCuRD0HQsgjzM
Sszgl+8ojlnRuiQgHLu5r544vNLPJS8MCWllGOAT88rfVTxkDwK1L2uJ0byYrqQcj6qwn5nb9eoj
GjKPuWPsfYV2SJvTt1dzJ+yqvV95M3yMAG4mNg/MpG27YQQbrn0QEBuIbtVNDWF+ExW+eAyGBLdv
kQ3ec6WT8gg9ee8G6KuVwxQ3DqLksZcMO0h6J4ynUPF2DCVWvjqPxqd6VPG7iCMXAZXVcYIVErrS
FESHnl4DEdJSvuIKUa+Inasnf3BHylKYHczN0QhpwPe4tnn40mUToAP+YnR/JVZg9YXTO609CHq3
sBh4FzUC/pWLEvrFsa2vJCMurTMSb8FYy31GY3kO3EjeoKycDwQHDru4WvyDTSDdOU5C+RI7PDkK
I4k+IzyTO2JycCAXTbm39OJ+5LMK7sdI+0j9Ju5ziayCEk/PT6Rqi/002iC9koZkbaAWvbOmdgMA
x6yaFPnUuxIQhyZ7wchskWg+DizeoYad/QTKjDBhxVLvms/Raid7VLYZPwaPyLoEIcqr29Xx2atM
BKfYCdZBNr413tjfJ3lSrjErQpYHlbwtFwTaxEyO+znVNhL8sVn4JlZwUQuJClx5eLlcCCNkZoYI
KedhpVg7rPEfonOF7roTxHOv6OawgWPlx+uZ6jsHHcBTELBNsOY5P80hRIZVojpECzavdc1cHLhW
WORXkR6dOQ8f2vFCZ+kvlzLrhL9kfCzwhhxbjM83mU/o8GphiFXhk/f07yZ2SI4tlw5LwzV8KaxC
oq2Vkz2g7fHOS0Z1p4aO6xxuA+geSQm5WWZ0TdtCVIR55gl05cLEfkszlATH0uv1eytE+s68vKUW
DJHMIVp9tHwT7qzAYeaGaGM3jFdUbSAInqHh9y+4kiTDtahg31mqU6m9EE5Inu+Vn6AfcrLgUum5
v4755mHH5tjZdQIORDBmv3BuhkcWKuKgZs+BQ7DAuauGNl/PMdZUYqsXYhNZc+mILBmfr+aWvjBk
1ZvZL8084iwolgwVBrNHk1jqZAQWwwzvIX1ulpQbk1T5kXs3s3aABBuU1UR6bShk7VM+ajImi9wr
yZlxradgyjEmcnjfVB3MR9mgjtJTab4KN254CGdEO2vtQq9I/Ci7Zc3JQ2WN1S4bYA0wkdG3URPT
wMlENntNejQgZyRM54kLmb+oL8RDPrNV7qQhKyZwUHLFLQU9FoR2y5laf1rd4D64JOa92gxAV5mZ
FRbMNAQCGaCq9KdsvQRVinyDg4bQXkQXHZtAlk52tOekdw40ftVuwGu/cSRS5Jpy5RYcaXMWMVIr
sTiMeVpVP6LRw0u8kDPedSa5U53bcfGnkMklg6sj5dPI567T3TWgeAPwQ3whuMClPtrY0gZNcIno
QwJb69qYI2oX72JP5HvZIyIHUdXUc3Mk5Kczlt+EomDTuJ7+dmlDXUZ4/bbINHpwAht8jQVygaT3
4C1lUoKW3AMKnkmmAnmJ8XpomgvWXm6oTHsbwxripLCJfC0+dkmSescd0mIaBPQCuIeJ4km+Kfrq
fT7ysWDJtrnZZyKV7YWZMaJmGLkkj+yFsp2TsINrLBZxvpvYpc9MavCyjWQ3ZkbWa6NlLPea35r8
GgeGKphMrVVOMbXjfZradax4TGNqoZUxdb21ksF+msKgeFSWNW3AQskLyrSAMTYaicK1WF56EbE+
eM/tDSDXaFvqYD73hZnZg1rFjRwhIEyBGHbVosMzhg0HXXoSvM+uDyyi6OW5atqM0daY3nl1nV7m
xIEk6fAJs8qK3APfMfnFzAgm3ZjCU5zj+au2MnJV6epOHW63S10aRDV5NUZPxXiFIy1uLX/NJd8K
4mEoPVY1FQGOaGkltJkdjpnW9THvRkq9IAb0VigJi31GhNE9PqHmIZNj60FgmHFM5P0MRCESr45S
rO/K2nuf8P3/qRpSpPjW9t630xTmCagVoUujxbqj6jpc8yEm41Xuh+lNL8ruibA+65fPggM/PmJC
wMjxh2V17s2oM7WviZu/H2PTPOYCZi//ZB516BcU7RAnD3Hadvsy6cq3sKrqaKXZVlzbcZuvaxC5
hmhgGseblG3p/cT24MbOJV2AZ9k3ufT6hzHh6LHs1D8QyOPqV46+ZvjKF5eyuFZjvS5kNjyMyyDu
2IXRhf+bmff/JldShuL/MEm+/vz7k6SW5BpD+V/8RnUNpG51THi6p69eeln2tvSBVEfY0dgG9VJ5
+UayJ0cSHQZ8crLSeLCcmVycVSPDOl0bpxDTocjHEJ0Ykg2s2QuTMlRGnK6NSK0bN4FV1q7mCSTs
yi2hVcOWQa24ob6YN86gFd0OUvoEJghqeRu5F6FiOKc3Lfzm4xIq78yMV5z7GEM/hqumu60xHOwC
YVXk5k2BhRs2xJ6AS96rv+qyxstFGg6cX7zW02OCcG6/uNa94gwxnjzMvTx0IenhGLfbk6pcQFRo
MXxNDekjFr2dm7F+SvlsuS7L6anCjIAeMY5X2PbyHZ7bBd2AyxQQEkHghx+DhDbOLxt4cGCXKMOB
lyGUxu3HbrzLfs9V9i57fata55e12BMXeHWYZuYIzpCoVVUYeAmpxlLRJvKsDaI7p5AfblH9GEhP
MkMRbIbyqmyM6fE0ZO9mmYOPWFQfwLKxgDXx0ZnhSLDuwjU9fkdFk1O5e8OqchvDU9u8WFM+bwJX
XcDnqc1Spp+ZKNEYGPM7S6IPyK7WmSG2v+sDNRFZorK1sNBJGnCdGzccy3PkN1CTloBI5qF49nyb
RNbZ2yxiiNZoAh7HAOkK4eo4v58cWMt1aa3JVTeUckAUIslQeWgRXxMTTdQ9R/xoY6h1DIwpzjdY
A0nyxsP+wq7sLcyvFX3tHnJTXgza3qZwh5WzDLdo99yN8SNCnv3+rdYeRCRFpEZWXVuPkFOQgeq9
XcYtDBu0VkgI2CZE4XNw1asbV0y4BUv84A3x3bLLvrjluEzG32nhPaWaJqkhoHAjSAZhXDevCMU+
eGH/1Hn1bdFXd7PExr2g+1mx7m1XUxLcmHn4XZtyO00w4omSf4Yt9r7wdvH7kMnW7XxofTsAVVh/
0G28yKQpES6E7Ub0HWR8gRJpOiGUEZuhD5INN8RTGYzvHWqbHeudwzAghLZNjwx/bMiq8x6znKgL
lbNBbcT3RPit0MHv1iPODKmIt2pK+xKP9cX3WzK3EgZsBHF9zLmqNh1TdCYrgoEpwQesJhf8nykK
pnkyXOgV7Z3tRjlpS1OwytzxVz0s3rV3F+s+hc6mEegX8zXMkyCRDf3Ku2yg5xiC7wmIGYfNOEf3
IY6YFULTp8VHHORYSIA1IJhJvwtrfAV99Cca2pkunjQRZrIAGDRJKqEKv7xenfqOtMVWC2+NeONq
K45fmiF9GYjuWyUZWsMqIREugDhXI5noQsmLqm4jcm+AuzDRQ+yALo1iwxlQM/SN4Gb2eSAWWGcv
nk+VmEkcf9Eiwm2ng+zGJ0HAt5Z24yK9XDU1S9zZyd/IuAs2QacfbRe3np543Ta0i95Dd0TLuUpy
ey/rvlyXgYv9OwmfGluB2ZXVm8hLSLDjxbOKWz1yb+f4+3OeDL6BBHoWdTiDpPGeDVwNkuzLO8YD
9XrR3hPC7w8TTTTx6XjDiO/CMmODqeAnXeIX2uY31bcpY7v4EgrxyUQfjFckHt1R2SemhOMhu6aK
pl4kGXbNPywqzUqTubKqloyGP03RfqKB2pbqmnR/jScNw+AnKnse0QT5pns96IPG28/oKR8tiO3v
IQEV6C26nzTO3lJhl2tmDm9Zm951U/DZ6PZ7gPu68VO+pbh9sIwMPZp+SU1JMfhdo7yIVFSuTA0S
2sxFv8mdMqbHbqi9iBNCJ0ZrMDRKPiQEApxyNbLaaNSlUstvKynNqb7aXGAS7fMkOtgsZFjw3OdF
3OyDGjjoovsmQXM74VxcvAjzhh32eKbTBV8r+w6S0eI6sDF098WfCgzPGm5KSKy9OUUjma/w8jAa
6YV09fippD7DiMzkua6+Svb1tGkFDLvUDEfM5+BuUV56xuLzJ+Rulcys/EohfcYgEIVRvXii27Zk
cK8qf7yBZop68Jo7Gzkg25jwr5ho3ZJZ8MtlZ7uxMJ8y1Ye/qwXQ516+mlm++L31LAJCgcZZ0yAQ
bNtcE27zdN6NyEIO7SyTo8IVwGeWfZeLy1jQBn7Q+3hKkuqdpUy4VoQObCunSy9pKqbXdGaHkwWh
3kmRA5ZEWtJ+FV5GcRV3DfsK69GxoAWlGZHsxoW1SdY67vUMywM4/G/jt5hsISDddv6Szpu4B+my
nisbtV5IcFqyQXsKjpCdbYWsO+vyR33N+w0aw4hWuQYf2CKqtN3i71KbBvkkSZGV07NgKJcnGVY0
OG09vU/2NUhYzliQOSEMAcNW1GeEIAbtjE2tt51tbNtBdh5tx/5dYwmHk51Wz/k1vbgwtQ+/o2OV
NvJubrvWEy/DNfF46IG2bsrKZS8cz17+/f9Fb/GfSEnhuN5Vf/Bf/+m//wdSisNnO39Wn/9WTPEv
/80/qymC4K+rkEJ62Ak830cM/a9qikD+JX3Xt9FEsHx3/v7Jv6gpXPsvRBRkuzm2CFDt2MTL/aua
IvjLdyNQk45w7L+T4v71r/YvFW/37/79H5LVg/AfU7ED1BOsDAjrDlxph4xi/l0JnDtCiZw7cc8c
+0VPchuwcOPkMM91asHj4djbGwyzCL5P/UjQUblU+BQBHdVX4lGAStsFjxZ7b6Lum5dJnBcASd2V
lMQ+7YPbxoIeQpjHlaY0g1UiItnfluItvvKWxlmwzO96/5AEyTPT8nJLBYVXEpzFvXNlNnXAmxYg
TiiXvH3bOmShCLbNM5emr4PxaF/pT0SsZLvwSoRqrmyo3gZnM6na2ZmCuBx/aed9t0zc+wyStmYK
0QJCmuqGH+g/110ADKpuILM4UD6+MB93kT8R8ZRbUuyqaXRXrU/rCqm4+4RgQudag8vr2sehN/ZJ
UxzgdJvTPaIsDnj/zeL//ot1CyDtsbg3gVPBGNG0M6w40ZFF0ynsk9eOM3O6pmi1L50Wz8WAlY4I
n2cTIK0CY0JuSTAw/ZDMoVr/Pga3R4se06eu4FVdBKsMaKbrof8c26RddcpHMdzXJ0b+E5E9HSSk
PGBPPvyRc0yQKFi7rnERbaSRu9YVknqffA+V/ypz5W8sS7oYSImsmE6oMJY96mdKxXxrxugtgi5U
ccquAM9vSjfSu0gH7coJqjcHz3lWiPNgRhz/NKK8VzQfiYZrympz3+W//CSKAKkYf5UTo7Q20gXa
QbqSQbDvcSAWTTDtWr9Fo5B+zCNc7mm0uK8vDputk2yHnzgjHoM/Gykktg2Uqdn1UMTHlljfuH2P
NMoMf2yyP66G5DzC1xM7z2l2zwv/gvn+i1asOFqSnjvkqkkCSetFrdHB5V95dpQwVdawLatrUBQJ
olN6FigyMUPCC2hJABJDeQgxkfnhclB4u9vUzDeBSC8J4YwE1ITPvczffUhJaAcAe8vsdxeL7JIN
7W/5p21vKwgJKy+n/2Mitp1b54Y5dYmIoux4m8A5dxjk1xAunLC/ZEHzyY6BFOiIOPNsOQ3IA2K8
DPwLaxKYzdsIQPbKCvs/FZ+c4e23iPKqxMprdLbBh0utklcneOqSu6i5s9xrpekP+7kYuYbIPRlt
ee8mw0OhW5ZKi7WZmkI9UJWvwlh+M7kYd9IqmEGk3laH4kTqE4vSLL7eeXLXRkiF4tF+nhhdFGZ5
Mal3T/QWkfVJdaFdVusIMmM18TiNxYcJRY5yCXSKzaoNqWd2n7l4/aTlP0Q1PlEv/FPE6W2RMGCK
EMIXnCWA6rGTgCk09JNAh5vy7DgY2uJc/5FsOV/IWfoppOpefMLK+Lul91ZctftaoY3O7cHcdRac
BYJ5411A87DJ2uHZ9SwmrgtS6TQF3jg7oQNyESmtsFHSFi/YU/Wt4WLdj8OnHuqaHMOGeTrRCQAy
WkZ89g4R2cMcj8VxUUhnVGXkxhtA2cEGv2USi9vAqGg3ZupF8q2/b8PhsQOZdG575M/VXPe7bgSK
aPUVdhhC+YZ6OAwNsFs3EN3N2LK8bOCAbmVrNaeGNQV0l/6ZxD6osuYdVXv8q8mTh9lpnvKygIO0
9LuUTdYGG6B/imYiZgiC/AWB5IjcOYNs59u3Bh/E7eSJn6S+H3ksdqkkyj7UwbO069cuVvdCaGaB
AXPTJCjsLRYWgUN6Yh/lRQxQndLeazkQkRgM55KXciaUBT7wPOGiCNt+D4yxQuzguTt3jMq9N4Ts
IhM9nHwY60VDZskEEglXZUO6DJffZXLsm7adnyibhpuuukcXH0COa6GEt4AYC28KuTZiIo+Ve6Mm
RktObq1UzPTY6PvEaxitm4DqM2FYgBhh1SbcH7mCljEs7LgEHppT3WH0lgRUr3vvS8jiGY/BG+sR
ez9iiFxj6Htq7gZDUJlm47YqPflmhvyR+En0yh1GSWh3q8SO3voMmo0d3bTaQHLFQLGqQTqvfJY9
KRpYJvEBbX3bfPXcBesO05FYwONTBvbegPkkyJgJxSwVYAuewviujiDzmTH+ynHBXRsnf4UP5E/m
f3Q9lGwyPdHmEVxQuzA6qtklfxmgEKec3nIVLivC7F6FVzT7YUYfNzNTsII2WQ9G/2mz4Q/4GezZ
R00yFbk75XvZRE9VmsyrzFswnJGx1TkN+sd5eOBo6rYDE5+V4/3xSmkwMyRv0+w89WnfHtvJe0nY
ffFT/cSNR4IQq1TsPX3ynhKrMtna3xUatxh4FIbRb1gLFybLiJ1cVGV4XnaMJznc9Gdo178w6H1q
zVwg9iRJEgsBM2dnqu4r8KI5Ag2mrXz/zbygXmyeOufGqBK3/hv0mbsYnWA3FsS3NhAugopFDcOC
PzIBV4LyhKuhbR4SF/4pmye+KqDGChy2KzIMhxUn2MyLHkEptSgnLFzxFNkVnc10xdH3yx4ZVZuN
r3YRfgMXeyg9lIYLmKtN4RfrrsWkMLKfW5OBCBMWQc2648ueaME+UrS/egsTzvTZGIJAMhrDndNB
whn1eAEyAesMbNgaVtAbJ5rYhQ7Kobxv1+2AX4Lhx4QSKEVhlPWAlm3GVBIXHjMhMOmFU37RbjNj
pZsL5pssrR5oitmCq36fqp8YABNv2UwIIzd/b6xyj4cGakzDGsGGjM/gLtkOU3+27GCThiTWpk71
d17FhAMvvEFCeadUCVO0wJUySnJXRuOStR4td8lonXLfe8gc0sAIdzUrM6IkF1N6cMepRJWg3rOo
57GeHuy4886YLzYFD32fFOc+Bcoo5wjNvP6KM9SaIOi8jUPnRVT9wxwha3OREHIecPvW1g/FYh16
LrRVZh6sH6+3QX7T+ZV7Ed1073Za7YB5JXh/u6PyfiRKz3Vz3RFEUBB3VQZ6YwjzI1X1QgbU+Eb9
mZ0WN7lVZPlAO7TVVudud2un/UMPsnc9lhY7+tr1WLwd63wMntT0FCTAmyIaSBpn9lURcxmraH9b
k5rXrPwfu/ANsYzFtwxGi5vHf7JoAWN+XTuoH9gfy06X3hESwCWWefAaZJ8ow/Ktggs+14hAwMFu
acHm90Xw6KoAqJsen0D8TIgpr3RhbR2zkZ+HeXGYckQW4poXEHfsn0s2CahrL861apiQT64hXupN
xnAgRT8H7mmTIvqUDXMq2HMvUiOdybR9KPiodrEqHol9eymKB9ufkAEBE4KTwy8FxTXa/uTQJv6X
MTywwMbganCvEF6smSzonfumUubAxY8q+NrUIfh8euEOribrnHkY1nXEC5rYjKkZA33HrJT5uT66
WZIeKkyqyB2QuM0hJpnarm+RlezyNnmlRGYGXxXYN3aVJ+pX5BPPi1e7Z5AGf7DKzOt+Su+KHLUp
JFCxSUo67SEaToMr1V7kzGu6pdDPhOf5XnMLnzVGI/as5vmQzCBy0xxIie0X76kp2psw4f4vlNVv
oFin+x7G1YpQPgg3NryHjODGyJXRuZIDbjaqzRsI+eo0V+3C9nGOd1MRn+Al6YdUPtjt7zaGjoUu
rziP11+yahej29iZVBXHOUmcUxdosr7Cdmtcp7gZHFdtB2kgRoYO/hGVvnep/RA31x3hwgj9f3J3
JstxK1uW/Zea4xnggKOZBiIC0TMY7EROYJKoi77v8fW1XK/SMivNqmY1qQkzn73mSmQQcD9n77X0
UMuOUc3xOzFSGGtcbjaxFq9H2nh+tnhG0BjZXZTcRKrc1PkNiqHrryoOKeneNzzOWZ8Cz4jZPLOU
LrZpMfc3IC5in0FY2QyZQw+0AK8JFTm7hPaUsxt1p/1o5eYDA8tHkzs/8mJdXhsy1XRp/VnCrB6j
miEqvXoOR4TUDMhrt8iob1g4nwfkP+emEBxuNP2XyJ3pvuputNEJslwrhzUwM0fC+qPurwWCumlI
2jOR1oRB+ji/e/P82sboPt2hf9VzPblRcOJzjvQJtHPMu2AUMLiIzBeTJ24De/Td6mpfkA3v5AfF
XabACmMCHJuRGp01dlj9GI1sW0MK1C1NyqdYfud25R5tMI0FJsErFstim6DU3uHvYcBTdPfYtZug
ErW9i+PIgSFR9aC5XfOLYdBDaEeOmtkTTl/elcyPd4NSy9GR5BzAD/kw5SIOLKvf4SmO9n3PkTST
fz9+9aHKkvUQTmH+irksSjZ1J5vfXbTyn/Dad24i3p7QanscOrN9YOaDPEdlqpLW9GrNhgiyGQRJ
pgPVTLySjSa+M/BP4desKkeZUbkkgHQXXMnykY+6d8PPdzDcUu6dtnvWIvuJrr+6Yz6VcPbyevUu
XhObV7GSRrQcsls4Xx9K/PpARHA0k+pb1FRpW8el+cMqF1QCc91O8j3ITbCXBq3CLH4nixFvw4yO
ghxT6KUSqkANHWaU4oyVinJ728OXypld8TgvfdljQnFAGz5HEaiVzg7yUbjPzNkrFsB3Mydt0s3Y
IefUWTg7uxgujOjSJNVPvR7cKzGya6+P5kufFyCrItMORj4bQLUM8xhlBuuwTINMlOs/e4fHoMk9
yZFmuFvFPJ7J9qQHgHVfwKISX5pefxPIiJ/sdqU2wRwDQ5b+2TjaD06zzjcoOKbWxAUBrdhBPdVi
b2e8DGapk+j1uFHDZGp3Q0TKry5yAdW9ToLcIhKOnq85Txpj7zGpxRe6NzIO0vnlVVgSnX4FSIJ/
eddomvZcDdrWaucAX4r9intrfjTuW2mcaJ3M6JCpUlcJ7h+TA+ptmp5dWpVfKT2qGTyazw/A+xD5
xNjYqv/IhVYV36cfZEIIzVusDGMkLDOTezLypE29pKqvY907e1J6ILeipb4ag8f5xgirA+8J/RZz
zrTNRqlgkEnPw/vM5mPvWRXJnpCuRJ+hVS2q9j2uNeszMn/rhdRPvLKZLJKD3IZeVDyY7Jxh7Ka8
elZiJAW4jGwi6z6NS3LnNwo11kiSyuDtQ1phsbY9T6FXx3JSHz+MzmS9/lPU9vKbAMFhQQn13TK6
70YtvVUhkxLTE+MOPQCsQTJe75HG5sswqbLO6LvUa6Gm+JfSBxIJpLYIfAxWXZI5wzYp7IpvWEjg
jRMA8y42bCbpXIyG7W0hkvMoteZRzc9yNeN/TBBpzR8W+NYPNtDz3q1m8HwjA9Ys6zt4wvl+bXuo
pJbRAADqjKfaXYFxCkAbDhtIHBxpvne95VPI+IaZOw3COSWh0cn9zGOMfBU1nnGCUFK00dvQgB0o
3exzZCqs2n9DkE5xhEGFqfLYsKAgKdk85aGTn5sy+aeJAk5907tJCXujSZimC2n/JZfJbsrw13OS
nwJR1XxHomAh5Vo4fXZpqMDgbUjVyfyFsUH8WDkUCrvnAGxUya6FMhLwENYZbYQ8tPPkAiAwC0IS
oPu2KXL4VsRaHJPWrahYUZsLwdNZYKsZhgpkLWuIY+VFtx4bdc9JBr9yRsCr43nozkwWXAvSE1vJ
TZdQnaLDGN9NpzjXRfyO7McOHJEfJElFKLEN52jXufSC/rlwZbGt2U3ubYbbeCthn2Tjge+XvJPk
TS+6ad8BvNT3iTGbP60kNYZJoFOqELZyfEvUWsbcTGlZ3yabfT2hyQOtK28n2yHcw6ZPgwbu+UYs
pvaWsYi1Q33aNbrZ72rQwRz2FlThhRcfCJqOm4gh5llT/XK2ioOKCXHaqs5SQTM1Et2zwmhWCqg5
KLRmoyCbU2e4NypoQi1ozH3X1JKpj45Vx8ras7aE7S7t0HQYNZTqpXWJolDEVWBPMwTx2UPpCJlj
BkA0wH92w7GBB7oqMGijEKEUaoGFWh2FzMqG32ZpQdWxrndT4KIDlNFU4UZdOIacP3xkuKRkJUjS
arjFQnxAfjIAbZ65PPc3DwM386O4PK26ZTy65rNaQkHy3y53tW5p579fKAZpZ2igReBMQFLNT0Mh
U2MmNgxUwaga8FR7SZ4AqwtCYeYmLnxHQsrs4wQDRago8dZdcXGgIYmOY4/1io8FnFIThKtQMFet
q9B8kB4sFeg15ODB5hD4K3WIzVIU+WkxC48/JHRYOgbfgDiXYzXoH4XCyFZDUnO1dInhJKd5nY2n
wUQvICJA+7PLzMrOquIQ2v3dUpDaFAH6yi/PESDAb7eJljswPUo6Hq/epTOq/QCv/WZCbwAQbjnD
WWNp5SqYaQghdwDkWNXwk1oFz211MLr1IM7WIpNzqRU9hg1+gPUEdlcoAC9GEpRO+1SBefsJpm0N
qnfReTClPqU4xtDkpgQ2FBOCH8OVbahYvxLob26N4kgMzcHSQIwZqErpz4oSHIELBoWA9SpjI1f2
0y8sU2WAGnYLO9gI5AK8xqECuJl01z0K9anx0kZ/Z4pWK05xZkfxHgYbcCvUQREVqItp2P2HV/Od
QfaXox4/uOCxAxpBhPwMyDa5MiWy5fUtfdF3pqImw1f7MqL6F8a1I8lP8yHZeOyEYi2D+svYRYFF
5olVdS3jKK//tXYlinW7HC5oZvgt7Suswu5LPRvbEKyzrfjOxdiNJws8oB8r+nNGJ48BC6iqqIEN
Pcbckdu+w5hmkQXlud9xqYWnMdMp22/0TdM2NreM6h4p8rSnGNT0+2inDOMTxPaYn5jwi5Z5zgS6
mtrdvLUVzZrZqbw08kD9DT6tIl4voK+lYmAviob9HYWQsUvFyE6AZWeKmh3ZJWUYoEmAeANvzf8h
8Vs8EcYaAqmo25oHf9vEWldToX5p7OmVcV75sgDrdgTU7ppSEMVHTsykdCgORpyeYiLkpPCpGSjy
t64Y4FwgdjKMv4GGDpdeYcNrRQw3FDv877/EYODtekUWzxRjfFS08VBxx/v1hzdP5jVSf+TCDhIP
TPnfL+R9d+JcKIJ5pFjmxlSbNO85OEeKdK5BFdnain5eKw56pojos2Kjz+TPT/YIL10ATi/5iOxY
B+DXoc9zK8JjoSjr2gp5nQ4mQHr1/9Hl5fRDmtEBz54pTrutiO2uYrdnKxD3BfROo7ju9i9DUd55
scB7Z/ZIKT0nUAgLPldUeA7d5TVTpHiHTC/Txg/PybsLc9IuoIT2uiqv8OIlb84KcT60Yc/byT5V
LPpifSxsdm5wT7SNncKrDxW5nr9dirUBKKZUXPtcEe5Txbo3nX2n2PftRHVjMJYzPiBYImb1tJQV
yUvLvjh0De7ROLt+qItDNbTVicmQQe1IXdTsr3SAvR8D4YcWPT3pYPlD8PzOCKc/HiD296roNVih
cZBVVwd8YFjJG86rmZLqsReo/5Hi/2sLJoDI1OqdNa8KRwGKYfK8H2tpfPVVnFyAmV/WwXJglxQf
q7IMCGqKJdqBRfkHLEQEgzISeBNugkJZCjyFlrtCcAJKb2YvJjPC898vE2iiTU9jakdG6Jwp+0GE
BqEv8CHAHHuylSFBeXIW5Uwgg3GKB/NFESWYZ4+3uOrlgYHucoR7sBmrZt1xLOWRAkPvSG1mOzYY
GrxZklpS1gYBari28DjImXFhr2Uu14AfrnI9JMr64Cr/g6VMEFwvdr3km07BjebJSHzRgqJsNzwI
dAp3B9y79DPdAvvqZO7llNrnWTOHHcMRCCLKR0H7kv2VclRwPKR2lXTPg/JXrEP6w5BpDA8Xnjde
usAZ6pwAIGbBmSPbDTbn0bKurjJjOIO8WuLL0jLkAKgzQuXQyJVNI2FVcNFaDBvLX9kGgQF+ZZDS
Hi2qlPydef+M7RkSBmlkXKmEyTB3lCg8dOXyGJXVw1Z+j4hVXKOMH6bsp11va++ahQ0E0km2Y28U
bXsBOpCR+3CM0YfMyiMiFgBgNS9JBCNN+QxNpHp3Ofy3ykBCCxkzOVKS4q+dRHlKEgGwJrLW4jgN
I2eQyYAUpD30qrSxtxpYiEKYyrjkdFty9hvA4emC5YHXOWdbg0Rp6wPlhbFzNg31Aj8R1LF5cN/0
SDefk8HeOq0Y/DWeo7dq4uiHQ5QRzUi0aynja2uIO1WP/JAPlIhb5XIJkbqwEwApyJRa86qveMX7
UikDTIYKBvoyvoZqXPxSeWKY9zWbpYF/6ipc5oRNJmvwyghlmCn/umZ4B6dTKg/Qs59qMpIfozLT
gLAQN01iq9F4kQZcnfL9iMrG6/aa8ty0Rr01raZ+HmxLe+FqMfvMvtkFNDuHlssGyM+kGoPc21u8
OcCB4JAol078V6tjdhh2KCyxzVInFRd8Iicksm00V76nWl7qTB9fnZTEnZiLhFe3WwcO1vlDgtSn
UnYfR3l+IgvnBvVy3D/LwD8L4NS5o0axKXguPzvKFqQVK8k7NkMBQlnJe38ll0P0N9DS9H2hon2g
Wff/Jv3x/x1tg6smqYn/c0SEX+6f7X8NiPz7v/DvfIjr/ot2rPRs0KHSJekBzeJ/0TbMf5mm7gib
6qM0pSFJjvwnbUMK4hqua7ie7TmCVMd/5EOsf/HfsImP6Lo0HTIi/+O/BUL+bwERHv3W/56Rtvjn
uCZkX0tKy+N/878FRJrRzrsSUkQwd8/uCqzAhRS3TXk8MGDzWDhXA8odjdk6pO/QptM0lhpS1pLs
1+TcBX34ExFvEqmLxt7cLOmRTx0AVZrcFkPIm52R5aU0i3S9M5dTRRLg2JDapZQBtksR6EQB1T+P
jGv+lhxGE6hGDRuf1UoMJhAnpTBEfoYFQvtIH+CRLk/GLCeCIsvKhR5UnJ3+qfVKvtWF+OY3i5St
uz50e/2Tu+S160lh8+pkV+jJfMwH70AEny/z8gtyVUIcgXQFswuq4MhAq3neEqjhRRXWXK/RBPSZ
fhtwazILLyRLdVYZYfPhCV4GdeEgvUn3RB0pvbsB35Ul0FfR7tyQoH9bw13Cxu62JgOEpfxowoi8
O2ypQb+7VoV7LWzZNpL/HawMfWjL5j6zZ+7fAxbcUU+v1AES7l2JoCcmcZ55FLyBr68dpcyhY3fN
GQgYSMLoPUG91ejJ0R5YnjGomv047tNgTcvRn8G9EjItJZHFNTpwT0BzwsXtVAGM3s5L6XLhMuNL
7dQ9+BPW9IY5RGeR6H+m3q4DTHgdMsyMEk7pEgt3HZ50TmIFmkZ3q64jGRTc9beESO71MIx0NEv8
lnYZIBVlzB9CHuWtcrcW3bjDMP5dJJ6zs4mpM20gOjuv6GGFESzAlncNCCecYWZzqvWCoLk12dfe
xA3GSSUBY8EroM6A/aLp2hPpe2E9xlDXiELagqgFFy8zQHgwCeTRDMRsHUpGjkt206r8W1Qs0iB4
80V2/ywyXS5NmrJy6fZxbTQcA0ZGzE41XrgK+DGLnwPJqSXIC/aMriv2/UJWJNTzrU3XBxBFlvmF
tvISLLP42INkA39oYWqc+TNATt3M4APOVK/8rNLtfR0yb4pba/VpPMgtsh9x9NyIZbIFg30AybOx
25B5ZUFw3pX8HoFTuEyxsXHbWZVkHKXEotOuexMFVKI6myUyh1Ms2AwIJ7p4Y05+f9Jo0gvH8XFQ
GT6t6XJrSEpjgJqBgtWdcbTXGE7mvLJ0ad2DDKGrVzkd4TC8lhGpEhA7OnfOfL1whn1ioGSfEF5s
Cr2yLpUuf6Hx6/Zj7Ez7Gg7olb0HlHAMXrQaFOptPkyEJi8Mi7ZdT6nOKO32W1VTEj5HPXu2f+oh
Owxr3v20FiyTXqsPZ9TJzY327jfcTgDFbIMfszV9cIZOUkIimu1dqZ6m19Bo5UaySTgkNLi3AO4Y
7KaJRtwMl2VuaJz7i9p3s+JnRDbyRnyZePyUnl0zQejcJ37SO/JYm9XDtjlCWc7WqJbuImuuM2N3
mSMpLnWLfdONkud5SXnu8dmdQdAU9XigEUmrmQlN244B1Yxpp9MM4rHYXVLJWammbGYnp6anR1Xk
rcGFtdaoFyOl7xwc2WaDED51hlPZvdaNjB56ErHIqLNwZ7OmKJzUO/QFOYB14TEpC1ME7Df8uiuS
YOiS8iS8gcWpq4UvsVTydRr3QZlb7aH5qPN5ueRd9aqPrUWyo3n+6/hiegmFH0PS0XSLa1LR2Wq4
0J3HcH3iOEQ8rsGNFlfzT+C9wyvJGeIJp1BUw3Eq63E7GdbrYJB1HtcV0b2sM8oDHHvp2vHU6rzf
ki3ckWMriCQIE8DQ6/FccEBxq2ehuYH0iveuktlrL78JibCwm532RHwggzzq/cgG1gqMeX6NHjgD
GeoNnF5GcpXR8bNMQT/G1kIZIUaIPeNc7FhWQJvI0HRyoNIEn53awCZp6lXztZr6O6QV7oumN50t
3Sj2aWvQu3KM32nBOyWhUXt2R6pjwyg5/tpU7YfwJxa3+g6qwI96I8Io3L8Nkb0cvM4gUUa3LWgb
rmijy1wZiuq2NdrfS1y8pu1TtIbMUlbiFsLrg9yTB3pOX5oBGIcVOPVfZFtJCw9kiU8JsyZGfxlv
G1x8u6TsrpK05aFP0mvjNjUJx3o9cNBOtNTvXciTrNSsA1qI2Wd0Sww5JS0lLJ0w/hS1xC8Wd2dT
kvajxvaQEfFlEF0SjO66UkNiKedEDVqBWZCeXCzWXfnCssaZ9CcOl+HRCQG5GAUM6KIoeP1O7YbX
nH5qK9kGNeBKflZj6A+lsWzXmURDRdqF4J5+EKH70XRmdg7j7JN9AV4auPUTBKbcwtfCwCZY2QUG
0Uc2oJbx0vmEAwq+oRZxUqhtwwf8svioMTOMm1m2b+Xit0UR7WzZfUoN5yiPfwR+lIzggNfrvk3n
dzG404bBQ+7X7pT6Di4gTb8vpCkOZGArf2pBzJIwpJkHerKGJU0Hp6Dx7GoHgw3J6zxemah0+Bj8
YQH2xTOOWsacerew+i6sfjmWnqpb5K75Y7XH9zBNGIcP4VmrPZoymX4t8kHhf++TQak4y8roKRn6
ZyrDKzlAvkTT/NyOLGLTcWSv3DGrnKUGFQmWdKJ7B4Zl7hOy+KQPD+xBEgyeMeP2XlSZ74xjfTdn
LLlx1R4zrfvMp+azRPcFrryYrn+/FCZAgs5ODuBlGXYbOx0vN9jw8Za1BaGnNDnH7FhEgSqEMPxj
EsWjtTKxaTvAkCCDN3qWvehAsxbtrOcrG77aDqxe2Hs41/n+766tZmveehUe5oUYiUx+LB+ed6qN
d5a9oJAtcPk6bg/PUWumpQ8Is9N+L2AAhmJXRC8rbzrmXcUWf3x8kLZe8Qw0WTbBaUv4E056+zUg
OZ95GwCIZk1JPg5lkj4dbRadXqNBWeeSGM8UoO2KD6r5Zi7tm2fSiQst2hdj5ryMjLbIwLx2tUGC
t4o+Gr1jccaos0cn3JbypR7MN/I5U5Y9L1dnkR/065LbgmVxNuT8i9e4vZk6VFAWect9lJrAGJvu
R1bAIWC+bN7lTKGBpyCk18mEMcc4/KRxQ+Svbudv7VADDGjWwe+LfM9egbVg7SW3KuNJaU7qb5Qx
2uXm3iY9TfwF/1xcfyVcALcacmAj9HrkrRTlcgSrtV7eNBJVgoBKllHRZZmwhUYNSDNkNtOX+bMj
vHMTisviAC9jRRSvQGerCq7KGCFCawdxJCxC73LR7hRPGGxbAODN9Gdac2UsnbMni/fVsa6C5exI
7mRHod56ZA7XcxtYZGeAkS9D/Ki8V1fiOFhx5IB8ycqY87q10tQtg8/jFAK0uFdVyo89nc8AaM9w
+aiLMcFmnJObJ12fyHKzsgYUEkGiWIeLpb6oBFdHcP1NtH+iWeRHHiVnt8uB+gLw5PP2HIt6ea4J
XG/LsBW7nGbKBi1V+xiZupO1k3/atn2LHoBK6ksx6fX975fGy79yyOFaZma31o4zDi3tElhyxJ8A
/tivmdHtPVuTx0V8tvEqfiMQLP3WaMInMW01nuL+KKoEjY2oYAWwhBKCE2FEzoiOprlyP3DzIOlg
EDRzWbFZjLLn1iySc52Ob/yuzk86ibFAE33qGz2zrohp5XUywIx4jB/9TnfXezqZziG3SUr+/Zel
Xer3Us/r/eia9YkHStE62klvzW0DYWkb8XzwZ2y2hm0Vl7GOxq1H575LvC/6SJRASVX6WU0TxGgt
Zqn5ujdbxLMaCacpzq5z0X/qo6XvEh1VQJ++TmWuE9Ny6LDwEcRnihDFnoc9scr2ymx/P7l8IMn5
1YEpaOL18qtl6cOvt+ejVP5RrUwUp/bK/uhGqJfOUJ5jCfFgebGJoz00z6estR5V4ZEj5ia2sSej
3+lg23i4zyDo8UnPhL5j0ttbYmXcZbp3HIloc5fFOC1Jy8I4S/0kc4pXrLPV2WCRrQ/1E+tSZtdJ
S+1InMDFI40ehrvkyYBsO7xykGNDsJbZ1ixQuRrJr2FgjMiNiwx2XPks84Ble+EdmHqxdemk77oM
YoLXgIBOQ1ydnE4olXHSKjgyxZxomK9zP2CYBQoBhXnMkZOJF5UeTX6bXjdc8wywl2PYgRcbd8FZ
mgPh/I9llh9ll//Q6VoV3bS8M6j2UzldyP5+jY0GOkSk9BgS228jk4fW8sTqNJ26am/CXvd1lDNn
l1eibZfXMfG6oC2+hTzyw75y2JPU39ePEQWLlXdPORfsvbPmj3oycWKSP4nz5W2eWnNX6mzGQwO9
Lvb4p5Grz2Ztrd961/B5aSB5OJQCNO4AmK8D/l6EAwF10BVwfyNGIRCEdGCjpyXSb533a2aOFz7c
5mZJ3ovWCvfkMiAOgiGM5n9aenn7Bj4X6098S1l/AQRCZEPkMZaOQgS50wNudLrnjj3YxtP6X31F
hDly1ofFndto+/HQavrGCK3uwv3KaDmrrA41SWK3wVhaEx8JmEaR9od5MMeFFY/8bFXkUMmgXVH8
ZihI6367rB5V4FlWZHJ8DEasvzVEEbyWL5OQI6DD8AdDFt7otCSE53xIA4I9+oRzym4dCNIvM4yO
6WKUh0RGZ5p6MKN73jyyzU4AbS4Qtat3rpoTHUs5bvQhZsYr6BZbY3bVojg/2Gb/KszUPRNL0NnA
lQDblu6zTNl9wYSf1a/tK8xO44BiTq12UDQhW/En/B07SeaxTeb+tAhsIhGKokl7nvSBdNcEiakv
ye2VHjKDwuH9oUeWfgR6tvU0MiFJeWmi1aTp3RSolw4GQU9YOGO1b+xYw2DEDqDfx4bXnnrX/UyX
cjqZEHq3FT1T3uVL75OPnimEK1EatqxuxOvpZtsUkc62gVzje2bt8dvTNHyPCbyXZNS2ha3LTZzA
41sKEsdxNFo7jKGvkX4jlK0TWNCmjdqOkCanvTkZpzpZdD8bBBU/q/tM6hy9EoVsn5Riwh+zjW4j
rHCXvflDl026x9X81EBlISkBxW6l6O5wyjvjna3PzF1vrkCFx/+NwTdT2Y22NgbJKLJgpDKpbewC
M+ebM/ZMslmHxc1LLant8RBjb+QUyWsGtsOlie+HsZYGSbnmEFGp3sFMRxcVPYxfldzKiexJC8Mr
KEcz2/cRD3Xm9//kjfHHHHlAxow0oH+k7mmCoQHm8Ji6+s+Y5E1nM6iQPfDPsqn+ouwJkXMbzK1o
2BszdA3cd1v6q+a9JERgcSPHAdvyn+5zZjZUK2Qpmj32GxaZE6glp5YurAo2G6695Ze5DPph/qeT
cnxr5sbZm0l2lOAGtsA2qMZU6T0e+HFVMXOUyOJBHHdJdUaR2kDL9PDAJvbP3mpNH4qHMqeUAc1S
nGKYnzjyEx+dP1s9i3dRLW9sKOk02+MW5yK/I5BY+Cljux2SXRy6jGFceB4EHXZj5X608fKYHRIB
1DKCKr8UrVBqI4YBXB4gC0QFB35+FpY7EVOmSkJaBSUvtGk+7e0+kf1b2aY8MdLocwxjDPHWMSKD
37kJ+XdZvHQIn7juwKbncgeEhXjLxPgIWVjvJkRFXJzXzpo+FWvisJDViMZ28P3HlFg3SUCOAOly
X/ksxSavSFu96BdrYZujB9Mcfk08Ssi8l09V4rhno6cmykUj4/xU7jry13uOje+OLp0gTu2XCo7Y
ttVhORCTHEezOVQe4zAP70DpyftKAfzaDw7v1Wh8zT+s+D3MQ0aE3IkzzEebikntETzr3sh4cI1R
+xrNAOFC3sdbA6yWk7P6sGZYOGEa8/21vi0yb3ElP9JZo7gQEbn2as9lo7mVBswjk29tq6cjDV+g
DRLFU5Gl/FbW/W6t3rnM/TEivkuZxTmjDceDXfJezIrpu2U9ZxFLs0NackaFp6w2iAclvCCiYXQO
mWcFLPq6k6flx6ZwE4YAw1PEDWRjlj1VIE+zzuWcn6eO1JkRTcQey1RiKS3cwLAxJc4O8dfClmgJ
YHhxZBwvPEaLYzFrOyaZQEydPAQhzwCqFLA2ssbdGdxueC/lBy+Z0gf60mHHYpqFHTM6ztWC6Ri/
5EN2bICNOZy5CjPficzkc/trEqjn0NLuCSoeKq4TsvKbKrGPszZ0J8igHHJG9efAY8v/VOI3tobO
m+IgiZkLEYlbEnYa41GSG9r6aZjiM3SLzheDihfOqIVDdwd97lmrRHhw5PDtDD3Hq3gk0B4jdNe+
dBA+B40zqb90TNn08SrB2+5z6zpVWXay7B02PMgrExYVDSxYXjxK/Ba8JecIxFQP1Il7VxEFqAQc
n0Gn5fP+v0YuTqupFboPuZa1az3fhqRcdmXLQg9svunl93VMn1orinaLWb6BgY4eU0oJZtU6Xkcm
Kh+3LobA6KY6aGaOmD1UYogaamaLS8nxPhz427us5Dk4rgWxEeeznPVt33qfI4VnixT+Nu1H16cU
f2m5OMpuchD6ZDNW+a1Fh/3RNL1g3hS2WxanL0KE2iPhcXuezelHBBGV69WyGxmf9tJ7g/vGQZv+
iO8yOYiM6Ss0eTyB1Zlb94etjysZI/Ei2/YZzuCzJqunclBpBWtQ3/tLW5h3rZHdAYfVQee3AEKX
79j628zlewPW58LPsYIpQo4kdLZZJtTy/sWuGHnk2fQYPd6uCQlcO+rhRbKnVlljP5kc3iM6qXmn
ZpLpsfb1tB03zXZX8mIjAVxMHwv/Jsk/2Z15FcZXaLseJYhH3RW4goWrgycYTwYV+J3FvpR4GK4T
GNGXMjfK3TjplNMrS15YjGs7VzgrUoBwy2xBHGQ83NFp3K2R/Evadbd6vbrSj0oiQhoJ9hv3qWuq
p8PJLUOGMDm1hqSAlmn+dsgxX5groYBv2Mqb+cko2yYgwBjTwWdFEKeX2GsOlEQ6f9I4I07uOwjx
HC8xOIbO7i8knTdWVFjMo3gL1xaJ4KxLEF+BHHAYMkSCCeDQFijBKsJ1caGTIgc5NZR3YyVjZ3AQ
6dL8bUiz6tDrjGYXMKFlwczUc5pX9kJ0LTJPbkgOQyUW/SY0kyPuHH3TFfzW5amg5pJPZO5P7ZQd
exTaM9MH2LZEFTsm2RnLaILJ4NR1Uhs26s/MISAwiv6pbLF3Fqydto2bI5Bl9MMMkmwIpFyLfy6i
QZ+/LmdNp+sDphYbVncHd5g+lYvyPHGW9vS6fKbhy8aD6CC1wP00g6eUVr1PNLa0azjAcbCeNYCz
Q89CAnEgnh9E2ZswYVk05Zw/3dSCkz7rFsXGit+HzD607PiJ8ve7wiDmPPOPLg2iKAuGSSjCvN0I
6pTr7HG9ignDSrFrO3KIrBuyfWaMr2hZvxMubhe3JeWgLUe3E8Wu4xSzM9tpz9GcOlXR0gVYfjs8
GxeuDeC/jwoeIwwqUEwteUKO2X5OcgJ0VcrdZ2QAnWhH4lYbiFEd9tuPkHJ4jtUE5udq+aKuogCD
2T8wGxJ+MamXZfAZSLyZqpjVVtdlLh51Xcl3+prYgZGwMTKpbqIz0X1WabtLpO4FLN84xjANeyG8
ue1wstUMOI+wgFN/dABosrV4akuezz2wC0THBOGS3rtzbr3OVGkIrQe6YXyMWWvvjLKAbobsz5U0
DPre42RTPmGZ/a1V/JQ12zyUTvrBWVL17JYNBZP4AAVolyjMKS87JmoQTKj1bzNXUra1WF3QWSS4
CbOCRScg5uyQAOL+mzt50kt74gHHDnA6tFfjPStC5uWcTLy28bsaarEcqhvDcz6NGZpjAbbTZu0Q
2y/DUPytWz0p0ZS7oFRsWKBy8JDPpDm/LB1gTjrtZ+69XJnBRLOK2BhUznxdS87GEO8WV7nqFh2A
jfNn0nGEOOTbXF4wxDPgRLi/3AaKj/rAjJr1Sxbrz2bWnoXbf00mEwJw0oAnxnbaTkSJljG+Gd4j
1xsTqwovYuKQX6C3TolRz5+Mb7atugrXlmO9ZvG9KFqQjZHZnlySnIfMbONtzVbzYdfhczLyd2J3
Im8we6Wq6+zcbH0zOQ0dagDiPuGJkVJVs54trhEbMVLRpDilPTTCHVnOI5Wj3JFNjHt0OuR5pQm6
qozn69//jwnpfB3a/ksjsn74z38zEiOl7QkQPWMr50bJzqXBpxEaWv8AY5aos6oiCAeT8+vcR89t
PBI9EVNzKyYwI6XzQ8p+PPfc4vbzyqDR6NL0WFVcjjqCvI+ITsYjBL8LDhHxbPQ6JU5/LdfdmFJG
EdAecb6XmX5w6VqB9xsJTRG6pexwFmaePnk55SDNWV1yqEIwfOK3c0bOzRoZjifCAPa/IxNPM551
Zp+cPLoxPlhFRzgJ5DdQnINZauJp7tLokmT99X+ydx49kiNpmv4rhTntHFgw0iiMwMwcXIsI9xAe
IvNCZERmkkat1a/fh1W1PVXYnt7pwx4WWKDR6ER2eHq4MPvE+z5vW1TWFeM5XK0JLWfofLQzsM5O
dDtvGLZe4Fj7fgZS5UsyKVgowx1FVsn2tUNBB+Gs3+KAwMHgOVsGNfdFkV9ADxILDOHOqSUHZA8T
IDLzY09gJbjQzH2IwvklBqJ2KQw/fiR/7L5k22P3o4WJjT0WbwJDDPZFvBXtBzvBo5G7OA/Sr3Fq
4x8eoQJ1DvwsMi23TRbhRma3vk0mirgk7Z4Jrnk32NIooLO8Mkyj43j6rBoqd6fMXiYgNEZASA3o
WzYyShyh8JPX1cIrKMUpNsBGlLhqK3hVsV9He6cg8C+xvCMc5HKVdwjnmR0QKuldooFLJH6dR7BR
jgS534v+0ehpoaMSiWOIKLNpz45smFr1Rr0px1tZSom7AYR1F5sX5XcvsYlUUg52DyuO6CV45ahw
h3x+gH6zZUBysd2BXMxpivex6N6jIXmqkr7Zs2W7DzDcHzpShFZTOVBUY2wOvhGBHuzQcWMobOcc
mIy2AEjKmyfn8gwAXKj4ORzMEfk603+3Mwu6a5nuw6Hb4cG7tVn/nDiAnkMP9zAcQ4+anS+l4jU3
hpKtAWSQDZYwokPxwqF8NApSfB14U57NYkLfUacG19Hz+rVkfgRckiWwUW5Qa3/royp9yuk8ewCD
PbquQz+L64jqaG26iOKlZ4QMuDCAxukF9wI1ZjrOIK1C7mLjle0/zVvpEyBa1Bu8jOS+5mcHDLMw
GKYJXRHm5uxL2v6V6/QaU2GxDkdGJBlxi3CjOnAEcbPywvxT+wugg+nZhCkUNVWNII173zLoOHSY
NjtTI6vos60DqHjFsHvYE6bQrB3TjLfEstBYMTaCyAf7kTbfJA+G6S5E4GOVoJ8Qo7v1ErO5++2/
GlJT9kmG+TqEsb8qNJuuopKPsFP606ybI+V/wxyW9hYayLb2QxgpRNZYMFNXVloDDf6ayKD8CL0A
42B9qcYa1n7evSMgSJZSc9f5zts08jxMmXy0poHJhWZ/m/qJvWt00t0P/RcdMgVp/Qk3ykBqVY08
tMk6ahlrPQ31wNSjOTVu5pxctA2FSsiKSfqVolPGh3U/IXp7xpv+0yPQMWYqvfJl4u6FjVRXex9N
Bd7PTUWzA8JM8+U2IxhYcpx2uDI4pTV7qmbO14C1AanVPV9+He4a8ipGGd2bDLI3OrSGNXwVqgif
z0g8P4GVIRehzXbCD+S2iNH1VAkitk4D08ps2sGq4I8T4dEh34ZNsqS1WorSOssra8sxzETIYSYw
suFKbChztvjSoUFEYlN9+oX/ONujsZhcnocoQNPShW9GSYC9ttcGL+vW6IPvvLTkjScGdDQ9rFXJ
O2g73fysCdVkNmjDVY8IZMdqwr3FUOYozNdmaAm/NufvHlpLRN8wUzLTuTR1+py4HpN60nanNA+3
DOhXCPGZxI/yIcbtOtTe+2y9m7b+wPzEb1lGDADY26ys2r94MesD1gLBJmmaPV6ve6vkhrH7IluV
OVgcv35TrEN8zWTsGkXDuzuznSh0dBdHpKv5sHnHyf/R0c6thK6vlY5eAesrT9G35e7XPo/Q3Wux
TWxjxylJ1KthloyTt33n7ickLqNt3eVtusHktk+m4V7b0VtgMLmtO55k6hAxDDWPM3EgjnlA0hQS
87HB4/21YE6zKpqrkoyxsvqhw9cauAAjG7YBiInAW16cJVmk4+Gbxr43ScRYi7q+DyskvCVDVDqE
A5mgG7CmDKMGfdKhQY4JQ6XekES8V6+u/+KimuxoKToUkbKfubmF3mCYupEftO88xPxSeAtZQRyB
fpIC6bylszqnDfiZgrBa0YGXNc66mp+KQeESPwXAW6A6wB1LaYU2nVF/sVzzDYsj7AFTDRstq43V
IJvxBBh9kyhtf++axYbJ6iYPIanRFZ2BPPAV2RRoObeDaEmlgRZoq/BDewNQyjJmBd1cfHB6qdts
Z8FQlJieWyyQmRW4OLjmIPsCXz/GXXCoY28fI1fW3niv0ZGweQuot+Rnaz2lWXbfmuVdaUcUkFfF
40ey3pupiLgI5TZpRqzX9cVCJxRN2TH1dI6JF0KM4cl90Zns/ph7+jH/siKom88MehuCMNBtpEdP
m8kKwumX0g+wMQS4ijZUveuO+SZXCl9rIGnUpZbzinuDEJtvUgQSMTka2AC9K/0tzYMn7tNln1kQ
uYeWImTJZdIai0Mz009zJx79zt0lAfMvgYEjjvtrH1cPgxe9CEDY4EnxlQwGCMDs0SIFimM9vOtB
ABBoR0Ylm080LjVq+ZBFkSZtrg2PCbk9jQHFAyL2XlnFtexgQaHT+6qrPr60s7TPc4eWPrXH+s4w
cdLaTX12PXlm75LfOp7NfgoxDs+w+ztTdafRoXoa8eQdG6GfOPLZBNXua16o+STnYRtrn7xpV35k
Uls73dpQLrvqpNlalXHHs84JSvKc9H5G+rHmmlq2lkMobh2rDXsMabA0nX92gPcChagjnlDZ+Xk2
2VB24y7MKEincPyoFUFBlOnmJiurnHoFhuHWi2NYcqR47IDuWvsQ6cu6aY6j+ybVGB7kOBQnOfXM
HfXAnCGtXhoowPuyN5OXNhJfc/It1lWDZI5MK8QIXqMhmapbQRLSbGp9SgisRqOAs6LL4bBMmJLX
For9DZ5JEKF+fbHHHwUq8mcTtGhYuvOpDVlemaPrYmMJrY1SjHId5JPxLO7bxdHvs9yYrPgJBIeD
s8lin4mKrQPrso6KK5Incq2Ajn0oG7tVJcSDHxJE2AYVmrX6WtP3nUku1qJmuoDXFFCg3hUWPTim
ClDQSOq3mkjhs8hPQ0x8VspCgtEiAfFzuKMxNvY4CW6sqo2Hjmgft6jBtw4zADI2ObUTmw+ZjxpV
8qqUU/hRJilHDJzQqpnbew8cYxfEe69on83FJFGHNIclK/c4GRF1+8hS6qwfGT6UOBaTOb0jH4DC
wG3T08LGhSZI0kijiNjme2eYZnMiImhgxgYazLN9wDoSCVP+M86yEwlKMd9N/TFG6tOz9bFg6sWK
t3h2RL+HH7O2e0zCGdYMYnvVfYVbu/StHdoIeqYQ4YswjwMXEkvrl9pljFTe5UvfX2Oud8+9mIGs
u684fkbgaozAnwwHXQEqAecyRgxWJ7Ydnu7WNTOvnU1i40ZG4bGr3gaJgC/xCLEj5u6pTor9b+rU
UdsCPi1TVVun3wjvPRJwdB+2GWm2/ZRtyCb7YZWzsy1KL926pmZ7kfURlHqCUfUIbbRtOUQgFxej
L6/kct2rsUXWY7FPcDw+eDh/wn1HsAONVf1zSko60igjKEgiwIvJ/5qrg6G7dO86jrsqRT3uAvlR
ppN3cGggV25E+niDnuHFifnCmRg2WzmF72HfvzkNG9cuGZ+8WINZ8PWeJS6lN/ThrTBjVvwU1oUn
1QPRcd66ZBx8hHe+ttkXpIk1P6NPo4d0y+8ZmJqDQdi5US9zl5YrNJbJ8TdF+f9PurxN5Y9//5dv
3zOdbzTkI/3Z/kVKL5TzD6Mun3XCzfx3fuRv8nvf8m1lOsKVtodf5W/ye0UMJjgH4TP/W+iMCN/z
4vewS/WrKYWrhFC2hefY5IcaZpm/52BCaEHPLxzbISlT/jPqe2nzQDh/p7DIj9///V88xPe2ozzL
kgx7yNVWPn//J0B57wGXsRtrwgNGx2I3qDQrH5UmpvJPRqQgejVZxnIIiJZ1jDsCPHCH+ASw11Yg
1iqzDyLXn8bcjlB41VNkFe+k03C1m/Fn0c/vBZzRTSa6nF3wAqi1n1oVfurWeHHGgrGXR46snMHm
YYrKLj1LCJDw9PDyidAGWId2eWbVv7OBaSA5uA8FwIekdckgtrEHmebEiM+P6eMZBKzLCt2mRBSz
VkN0KZvJuaYClFTgLMDqwfP23uwia2rG5jROXrQZoQaQ74hrO2kyC5Yy4dO9Uoc2r6ebG5Gph08A
M1E51ieXfmktdWrgjLSs2+C4xPb5JinttmtdchM7sfZwbGcyarZ2quWxmBO5Zp1H9TwxULH9z4wm
/8TG7iZ8SpnM47ZXo8OAPDe+QGEh1soujoZCGhyKAn1p5STHQBTNNmslM5PeulZKOQc5OGzAUAoE
hf0uCeR6aockWmG5/hG7qE86DynaYDWfk2L6Z8fiIcyJbKZpBJljML8l9yu/Q6+AGtrvfiZm/okF
AwmBcOJLQ5qhY3DXYcbLdk5A2mWCZ/CecTB+TXqTElYX2pjgebC8V5FTnAXznD8wC002I6MuTi+f
o9umYu2WUg24WsuYfBmo6AzPcMyqAY7ysCua+RP2WM0IPmYFbaLggZUSrEzRg9qVQX2YjbYAlkc9
FLq9852wDf9Cf2QzsHWp8aa826duSIbdmJB+VNl6V3nZFyMwGBgVpfOeD3yQyPmct2m/LPrDAq5D
yvCcX8hfoaqJrg2tRwUAlBBFAlWba4+74ZZmqgOKLqpVJPQNSP18zrkeniubFFCzCN0181bjKezj
cefixThCSWI0H7JdA1KUM7Rux23Xk5XIPgKNdNjuxzIcX5yoKbZmSjaEVqhS/IHCcC6pNNm1rLmH
gydgJ9nOxj61FqGJaigX4mwghVilMCMuUWJWBzI0queYeIdNleU8nRDuCtADY61SHJ8Me+M3T7Gf
zb3+Vjs144vUPA8Gmg/Wo0/ubP8sgrpFBdXGV0xpzTo1mXVHEdjulhipTctsfBP7xDlN1gQDNEzM
uyLT1XpS8inDe/vYVykxO3V1yTOst1mJxq4egY+1ztAwv+l/JrUVHXygzIeMKN3NEES0PEHr7Qmu
NejcO0biTXKLC/kxBWAyR2+Yz4qc1ZfKrOq3mCt3BYGYgFfbglqCBf0ofa87akBiRCkgU7RbHaxd
dAERUD5trhUsFuaJBtM6jRg7QM6BknX6wIX+EQT0WmVaGw8MgkdkIShyaWjWfcnKZkmnByvaonpQ
y5DG4LyaPJJ0VNX3hLTb0CN8qLJtxARJmuF058PJFImoUaaEOb0n4lXHtYKHsunK3ZiyPkjt9m62
XbWHmA6QPDKjLSVFuDNS5ZEHikedpEvCK40BQ4XdmQwiYu+5oN3bcRgxB3Psce/HGQIba5REDNfJ
LlTtBSMm6pcy/FJhd0W3wGhqlijYcwXHEoGAhIWilkauMfdumcTnAZT2avQ1m3OPMVHVscDpeC83
aBMQrNAzb3vZxXejz3Kfw+8jZqq4QfwAQ8uuGhoTXkZ/WbdZGdwetB88nOn1G5SqLv0DIqzGbB7T
qj7XMMjc3PvhJaO/oS/GhNHCSpIek83aoLOKwOEVsr8RkhhdjGBujj7DAFzuYrz7k/ntDwjxn6HD
0hH/+Fbzl7//060G7sOtpRjNQ60ZWIwx05goXkbyZAMwFyKKrtD2vuSzhv7duI4lWrh+hPhOhMF3
TLftFsdWxNqG3hSzLqiSBqLrXBifiPdKeL/JHUe/tZeNe/UlB5BlAkVf7MI7Qt4XnDdMhwS4qujG
o9NO4MpCUEe5gJ/o5N6GJvwyJG6+szDZ73IR/DTm4Tpk1hdS9txvQya9tZ8sPVDaO+9DWZ7hPuq7
eWY1ZhF0dd9XRMiNHTtwZYwHmTDCJHTqmiS9u8rgYu5SacqXkA3xKej7eIOH53McKPqtbKwPQI3k
VkwumjUwvX3KV7cRct4VhoF1By/3Y5vQx8kYcmveSPsR6deI4LM7Cd8sD2Pf/pwJkrf9HFm86JNz
mJen3tczn9I5eVKV37y6sLEghsckAkXivXfLzzj17YvTy4nIiZGKOrMierw2ereZDHzMBtFfaaUD
ACS9JCaZQOdLWOO/zwnwXgFFIjSxNkM0PgzpCM8C7eLIHBmC7cYbd3aGY950LEulDDdge/G8DcEX
ighCT2I0Jgh+2xDgfwJef93LML5W0mvXwyi/mk4Qb21TwJN0fX8lx+SbkQ98IXLB10XQaY0aNm1s
EE3l42laDVbYg1hyqjV4FhTbiX8w6LIQ8ndipxKEq+DdjEs+4clLDW09Bx5byC6n8+czZ66J/P7B
gAigJhfUhdYAs5L5Gymg+PBUgWIybMHbpKK/TJ790rv2s4dasPI9mIqeck+xT5ja0IbvbeNzPrTW
fcDJIgkSrUY6RFwSQEkwazDgDtWqiDuJSgyVIyERaqsYQL8kvuEeCEpN0SPgeGamwRokgs9vwE3u
SExh0ziMd+R+94zqjRvuc7bpQoDuCYaXYvRi3C/Z3YhPEjsFKr+R62BY7gW7K958YSLPDDAyztwZ
uAu5PMgGRl8ER5IPGWKZ5ER2LW9zK4pNs1w74XIBJctVRK4kGxND4acw0RGhv263uvN+8qdHUImv
Nkt2hzuNQxCeKrdcOtkstd363USf+ZpzFitvbs7CJgNbdg0CvtTzNkbtGRCuzeS5JcrggG6vuiwq
Q15IzOYOvzMYtwAJ+RDN6yousp1Sc/AUm5gmUBfeRdqr7ypXMp3FIrOBC1xsh+VWD5f73TKIq0wc
drwDZMlpgIeCEfRuAt+KfVcO5+lUBVkNQaxCYZJjTxjD1GVdTUUBKC99RgEyn0PKDU8h945lUR+6
pRbp6rC9dqSNbTiHMVu5YdBuybeKltoCOtJSzsRLYcOyCcNlAtglW8qezE/c94Y0+V1JTRQsxVG4
lEmwV4BhL6VTRZDculjKqTD01MUY3OE7aO8SaMKgYeQ5azLUqPuLMjm4Zc6MSYTpxgngtpDAVh9s
a/hEVjnsAA3j7FiKO1k77XPcdGifKLrXsQnMdV7KQYSuBMpHBbatqcgfREx3jIT4Far9czqasGoK
FFtcpud4KTYJrEB44WfVDuBeTAKoPqiGoVoJqBseV/4ZUbcahiJ4omvzu3opauOlvDUyCl0IPQ/j
Uvr21MAzeotNLOtLH5oYwmbGigmKvxW90muEFZ+ZjP7qthrqKYpLgjyrjliKweEEaaPxgFqP7Z35
UtSVx+QajpG1VOXGTH3Ol845BkvN7lK8S6m+JLCP9mg76ruGjmT9f6UF/38p/MAWkrv5v3a2H3T2
7TP6lv7yUH/7/qOJ/txm0zIvP/xHCoL6lQQ403UwpNu2b5k0sr+73D2HfAR4X6YQ9Bwebva/tdlS
/mo5jnJ+Szn4Xw020QjS8xZ/u2s6dMau+8902JaJvf4vHTb6O9+x0SdQYvG8sMv/pRaJrCauE0uq
/aBmTMKzC9N0bJPqswKdS6R7xR7QU5SJCoauW0Fs8DkATsqPjF2hm2GHgy+/K4hs2KCqmO/pEqY9
ihnvaZxl9tWOZxtRczikh6kyuarmjrFeVKYv0sU8SaocZwZ5ztObPY/TTnS6OkQu0JgB1ylNbeV/
TwwXb0IU8dGtjaDDBwm0E6eWBciGu/FFR0n+zv4dvZyGlBOmGiJdwZEuw+Fdtl2HlUXk+2YkawDp
FY5xra5YK4ctk9fiUETM4r3a8eGjL16frplxNI17YtLbNZ68yKRndqd9kObg9IAUly899/UPjBCI
AJKhOTEQv82NgEI4NwqOW0XJjoReHy23CAD5aPg1q7Sta28bRGQEIv8GgKe4fteEKFbvsDbGE0Pq
9mR2RH+b1bUu5uEdLhXaFVhLNEaMgFMI/XDmGo8h9ywIlAhMdfXtbAHXkY56rnRj383IG59dE1vd
SrKoWvalxNY0cUJeg0iGcxFb2b1rQNurZ+82p8YpM7WHhrSJ0N4EINZPNXjlF40i9HtV56TJm+O0
7KZVt8OD5q1hF+vjGBvVh4EhlWRHViKR6qihWBWsKjetDsx9YWSbE9NCI+vvvRl3tW30zl5O4y3M
sREFHppg0rdKnyOZFqIHYh/j2F452sxutkhbBNv+14IK6kvmJsaxIwx63dtedtVpGnvrWkXDyu1b
FKW6joGI2N9xmmMEAhe1BQ36w9NW+BK1QzczhSHLmLS5lRP04X3ZiuxuILfzu4My72XszRBHssnI
qE0L66CiwL2xKmDLNqmqOScZIdqS4NtHWl1SI93CrtmJYmr7zhLr2tQGSrMOTE1XxtZlllO2IGYX
ADs7qFLyW0rLnd5ci48w1sb0hYENZngMO0yQRmeHNL97wdGc3tzW0vxz/vAkfZMS0iaf28/ScD+T
0/6uaL9eOywQu4KE2F3TTXxXs2g7EnrzYqrJR9Ofn0oDL/DGnMz2vRpbUsyiOLw4UeJcecEVM2Gz
u+vCyd4FaRftAYYP93z5lwQQQPa2CXg54aOK+sgjnYre32Pt74EC/2wHg1/0T0fl3+mDwJP9b2eP
RHGmSELFauw7akFv/KkPmozWFioJxZ4usUO94FR36OXVhle+AABpBl9aJ+nOfpGS1hE2+qs2AvZq
LmfsMTVK21zbMlvAaEPdv/P/r39akec9D/VY43BjIciOukjYHpqUkDPVrjHCzBt7Nra4vof96MbG
dYjD4MD9v4QY2Lg5IUHceYoNC6QZqv0OaeoXrSOKa3YTjLGCIYnp1JwYLUvEgldN4tUlsfH7hCiG
Mi/NPyz8p2A9Wr0XhgBrm1c96XLtCNa5Do59VJLXyVFxZ+BXPFQlVKXV2C8BWX6rtnJekAogbdjQ
VpZ+yswWheeQoXqGqFfdIh2QOZGkWHbp5rMN9NjFG+gnB9Ys8xFiFaJTogHLJeoze24tx9zUltux
p01z+2doFMOXKTaSSzJYVGRdw+qyG13kMslU/owWjrahEWwAGOpvKnTM7zP49tei0rBOjcK72lXm
XSFO9icxZ6CGC9R3ok6mJ7/iY+QxQl5XqhlbpDy5/6jbPnoYhyy59Ig4mFilpt5HrLM2pexwq5dh
+QQ8M9oIrNSg+czkMwsM51ZUqMDXbKDlVeasS1aGMHZjHy2OHlZ7T7Fd8j9Bj0Z70JyEFRIgcMeB
i7oyT6cHz5maelUTLrQLbLcSKwce3pYY8fShGxwMdKLSD6Iq8aaOTE0OJklF564xDcLIC/zIfWK9
y8hlCtIIaHNxKlAHZANpdwsneKNQ1T0pG8xwZcmCjXtioi4iS9Pb4kZorqUncXTZ5sBBjNZ4kXU1
mf+lK5vhp9PkiAGiVKQTb4w94pbyi6ujoA7Pk20/Oixa9p1Tmc95jzKS7i4A5fX7sZG4UAsj8h55
cPQNl4rQXuPgEdai14Wlo3LNG5E/WrrvvkQlr+12gvtybcrUDjak2GFvF6Juy3NnIEtd+SwhD4ZV
T96a3HD1kQjHgrc/9khNpaBLq7rFRFa2GUHw2HLYqiYi2rA9gxqKG2nxdqnMWucOHtimzct6pcyg
OblmQmpJIlz/ZCx3ygS1GL9MUiM7KAo2C2hB0b5wKM1nptXmJvWN8ej7fBOTnr2tj0j5hPDMfnAy
dkouuRvHfMRdsWq83IRvIc2DbIv2ntQ86y2SXlLu6wY1R9dp82dl++3DCGj/U8fGcJ2NOXw1urh9
tngW7ron3f2Jg4SZQYb178r6YwA1Thd0cQ3ZYa+rEhAQDdO3wbZYq1OFOQ+ot6NTyTbu0nbMElYl
SWQfooyZjrNUPU+e6b0nUjg7HQ4lMI5QqW2sLOtYG2W45Bq4/S30VYNMmMHANh+y+Tb3Uu48d7Sf
yct1H0YfjXrKsHVh/8zxWyHq9Ai+ADd5yRSO2ImQ2JSsyA++1TjbRlmUFf4YNziHkde4/eAfhC7m
rdWrCc15hHMvsWrSArLKsK/k7SDJZWHPzcm2oFrRcFhvk6edvQ/1MkCBbckTSuLknBiTOmJ9qx+8
1EAoyLQ1207A2B/QoIgvaVDHz2qOhxOU4/AcMZimTbWV+xh0YnhhYGOTyxgzfpN1tjgYhfOeLZFt
SBfGjRKWC69N5YcoNztkR8AcrNKPEAd5LTaUCR5lYBp8oKQFJC4rrPF+oiHELRZ7j2Anw3U7SPDr
kTdASceRzJSPteXGL8J+X5VjsnOIFHsvmsQ+FbFMd20ipzckB0a2BCB2bKFVtVVUXFiTBBinJfqh
q/waF9LEUDDxwaNSEarzWJucY5DaU5LjlrS9iahrq1wqSdMuyfCq/WkbgaP+HLgQ3oJG1D+StpKb
uPJxDlG5cAOZMIVir/yIY2BxAOtQSS/6OYOP9hWyFooQZ4ogLoieNe+aQZwz74KqH74qfB03QddO
pqOK9nncDseyJR2C/VRwX9jKOTF3G9EEheb7RKF7m1lTkX48xDWCxPLFYRNVwdGQ2fcG9uqezI7s
yQZR/RjrBAFPCz+dxIDcKJ5co7du3PcNawKPsL9KpDb5DmQAXvIq552MUpZO4G3c/C3OkoxJcAMo
T1DXI6rw040ROK7eKNPv7yThse+9SZR24JX1yYIyz1cBn8rILA+knorPuclQXlT4nm0yOcDmVL6z
r2CoHvtyHphWFN7egWGO/tZdlBGJxQgMR8BzFjAzZsiDoiMZovFuNKd65/A394LYErwCvLK9NtTy
yhhLZTxE3QpODKyXdJnMEVNaHUKiAl/DlERBivMmz6DIRn25ThxgrOD9vYtZAmk3OmTRhBXiv3as
aptXmdxOkRz3omOkx4JevILexfrSWXYDIDVDHGpb5SM4SzjJaagdqFJ5ZKNLsAgCUNqabqbrFcXG
a7OMIJqk6J71DMohNCbgwGUv8B8MmvxGu60V+fQiaJ/BPDg3IazqWgwdj5V8BM28mULXPgwVlQwb
HSuI7qvCAFITi+Y+LfLibVS6fMxaC0soIzMD8MjkvUFzgHHMxGJvuPNwz+BEgTlq/KfacRmKl/gG
QUZklMINfqED8PH2Oszs8dIoL9/Higt4KsP5rMGdOWtcN/VeRSxw12Ro2V8I0Ilf8zFMNlhW7CMp
CERdjk1056YBy5+IEWWHUwuNXQPaIw6POu9uaQDxtm6n+V7HpftEUcYip57tYJ1z0Gz4cdJ7s9nR
T3bqGQHJryh1dDViY8Nned8LBxcQY5n+B/aRDn4yNyCsiOh5nlzuY8tzTlCwiL6YO3XXSkIbijYZ
rr4Rsx12p3mtM7NCVGzLgcUpnpmnahzH8+iS5UGsQf1TzOx8cwC9bOda1nlA6+8dM0GzGYkKjZJR
J89ViHITpHz8XvWTE6JNJyC0WL7CbIk0hG7Lz6lXp/KU2E23l+yVrm1BBNEarFxKnlqlvxnOjDy1
mdISiwRyYFyAtnVUePL0BtKNSyB4WhSsicM8rje1DWZ/jLv4POUA56AyeJ9tblJyECU4rQ2SaQ/Y
vhBZiwpXmmiYicUF6bvDUA2oPWV18RPZXhOszKeOJ3nlLBXb1AH7NYctFl2XmlMwR76VscofXCPI
0AZaLZZs8qxVb8xbPTogdyztkd0exC3msSG7i4qyoawCC4ucJ2Z/UxkBO3tjDnJCw101vrYu42yG
1QzWDDfUp8KZyhe7DdozSWvoSSeXDsRxG/lquuG0TkflvGE3RarIkztUg543jlfGh5K966HqmgBR
3KD9XdYk4SYNgElmfhA8t1WWPbQGEn0Nk+HgmEtgrRe9VsJxcKC36bM5cfHZ9WDcMbQpXq2oJl0E
qjX0g8iPP/5xr/N3xix/bXUItPxzqwP0eS4HhRKvbvyVam10/BbL6n6AHBjyNA/0xVQm0Ok6Z0b7
mYYl+V3Un//4eSwd1Z/1FMu0B9GnQuiB15aJ01+fxlya/jwzCaQxgf+l5q8+B87qt3/jn5Li/PcY
l7ci4z//tjzyZ1FOtQ6j9j/++kdgjX/8w5tv7be//GGbE781PXY/6unpR9Ol/Oh/ZpT+d//ylx+/
Pcr/QWVjkoTBO/ZfDwJP37Ks++Vb/v2X87cGBXT9y/9o2m/tj3/9y0Tw90f5YyLo/up5kCVR+PGm
KNNy/jYRlL96LqWN6dliGfD9iXsp7V+pjpgJgr70YVUqpnl/CG+k9StOSMtkkmijzXFt85+ZC0pn
wVr+5yfFsEz8Sa6Lsvevn5Dc6kL8H828r63R2lGjmK+VHS0kY91fSjsh5ImiOPyqUgdPQtcn0Y5Y
DgpgIFhHKtQKJ6/nXFzCDTZES4ltPsaCrrRANqaCmGvPUpm3cVgt7nxvZN8SgaqSFenSA4JZgrcB
TGUW17gurPzZXYoAa/HIzsz/9zSzJoneVvLmQLNmCgm4QTZErbG67k5+6PvHfEZ5LZeaI8uj+pQh
bUfMp80v/lKbMBdCtgihjpJFswve4TNc/ApUNPlS2wxDyAYMDGXyOYwuXuZcUQcJChl2ky3dpLMU
StAliqeRbHt7xSCRSgrPWXGb54YdZ5nle29BeUzLUGpoEpTwRvpu5KxgCw/1+/RbkYbyqrvFrh4B
Zlbt/Tzb1tkZywlJqBsdhYs2GaSO3ptL/Zd40XTrEr7a5yZsEK3Yv1WMY1LSUZOf3l7y2oYqtxhL
C2MIzs5ScNrEyTFas2AXLOVovBSm/lKiFnGevJGAln0GLckIYillJ1LWXpUFSGjlpRkXaMrqYq1A
JrWUBnkQ7iJPJQIPrI7alataOhnDyBBkt05gG5Aas+ihdpwEsJnf2q+9RaQcbZ7pPA6I4a+zGscX
y+79tYfx5Mznt/iWTaOHlFqyQGvq0TjAUbceJZ4acE66s5760hwvRloQMdMnqXw0oGXRYfpoDF4y
5FOL/NP2jfXsNjxOAQUk2ETczszNqujBsehMzbKmqikgzGOf8iAoLPyLcm3FyjlXg++cbR7Neqhj
UXzr4rEDNopvRjMWcacboMd8D0RYvEe6xEPTAofeTiXpif+TvPNajt1Is/WrnBdAB5Dwt0BZskgW
bVG8QdDCm0x4PP18kOacUW9pNDHX56IVMr1ZxSog8Zu1voXR1rdZEhsJL29wNSTbiGnNg+u00buv
97CQ+862r5cyBR/qlECvT4AQp7PtdmMbLH5jpLscMMBzD8X1xP4eDTeKBCyPPCCT/sZwSw3bctGT
mIvtImmP9EUTJR6azgkkHCvYXVdZQLYidHjs/RxQZrpdsMJjoidfyE4ydzPhzo+wIo0MUZpFDJEb
z/g4utZjCK1HvRCBhdKCYsX1yHDoo8X8cA1I6wGDRPtoANoiTNXPexPEVqp9D5qxPGIAwuaRki/o
XKMJXGlC3WJwjxagM9e3ik5PxLAXBPXmR9Q7ZPTQvnZs+S1UWcqV9YuvTGs8SyR2N6am5A9Ke+jp
SC+e0pgibN8hh9oMUBlY3kERMgNdCla20AZ4ywB3SY70ck+x1RukwIGrbI4PzWxjM8hZ/euHiM+Z
HZo2xEkolW+KAJGqVTHV9Di65Ng+oN9nSa3zKSfXnpviXeX7MW8GkiXICfCKjtIbxOdDpVK7CAeM
HdRaiBjY90pbP05KQxXILdFjzFqke901ynxOsql4rqq6njatkCaQ6WnFVUxW1RA5EnUDSHYNyyDz
eeeFEdLyztjBvXDrDeTzTN4jwbiSKOGiZsLXeOoU12QbB6I3JjSLRBW9epFZk7aH0D409Nk+x9g+
GV6gHrwvJ9M9FQo/IZQy8n7Uoj1EuBY7Ejft8nbyjfGuSwbQQk4afaUKiU9U+vFzBCB7Z0jqt4DK
WX3rtpkmt8IdlnedacGx76V92+ULcah6XkP5yQByq6aNt/EckVPc9tVt23bDRbRxtpNiZLuZogJq
ZhCKEeyqYzaS+KYTEbiXudnc6mTx+EHMH3k0B5yUiYccrSoNynGd/xbYrRk/WrJLyUC16vZNSG88
zn6C76dnYONCcozzd5H6lgIXIuK7RTJ+w5OTZkRUsNeNlWMeVaSI41RePF7pHijOoUQ65Wt6v1dL
CkKvkeWnVqj0mBpxfiobDXJ4CZG0g1eMNcwjCzbu5HM0cmQjOlyu0jVGBaCDdrYjhseaF7lPbeYP
52QYzcNSgonsKTau6xtPc27ZKlXHFj/xdlrankM1c9yTz3r3j8ry/+dqi82mQTX031dbl++2+z/B
dxW/F3+ur/7zz/1RX/n6v/SVKW6hbrZMBMmUuv/JFbf/5QlfeJQ3rFvZgf+/hatw/yWwQ+ngDOxV
KbOWx/9X12z8y7Z0g8pZp2qzXUv8b8or49+rKyorn8pPOAilKfNcx/H+vcrCeBHLwkOCB+zlt7Qs
bqgFn2CoHPysedNafDqM2kMx32ooBYOpfmQcvv/TR/Y36xf7VxUa74GVjrAoQ1fjovWLCi0TU8TW
1nep9ODhNbb/4+JTqixvwBNcVRv/cxi5v1ugIDhYnF0L2BJ02zQPI2czcohKegceMVtNeOYWQzWh
M8w+WcYtTD50hdvSMznwdINhlHs3N8WPXTdJuPZxnWmCOO1AyiXkltHO2VIzNiyfE1RU9K4GB63B
3DtcFH+pKPKi8WSKaiLjweJlVBmqmuGgZkJgZDB5troBiNvU8Y6OfLVM5C3tjzvtj57hbz4wA139
n0ri3780C+wIY31bsDR31y/1T+sqv6XayGaMmBQ8zG6vCdAsN7jY9Y4YsLqyDrOGCgwvYAkaBT+L
x/g9IfAwFGzIsaKQF+ET8Umqx6inb//8bf6lwVy/TRNEAaMgh4bi93r+T28u96RDrlqP1Uvviats
IAlUWJlE8mmM3hOp30loINADldVewcopQyCzT//8HlapwH+1DH98PnxACPZRu7IxW9d9f3oLLldG
liyZtzdr+2Dn42UqMDgOSr9YKj+PjI1YgQLB7fPyD+nJf/vV/M03Y9Nfm1zMtmDO/MvtpIQy9Cnz
/D2jR8YdJdCQdmIIBih+LBDGcIEG//y7ckj8+ruioKS/8B2aLU/8cvOICKnzaEdMKRMwiBJzKCvF
/mEo089/fqG/+VBxXzgoQ/jdPMf55YVs0Ol/3KWIpj8rkOillv10XH1Dk33lZnVOG4xF4u6fX9X4
m8OBRmM9N01Mw7b+y8tOrEJrt8UBSIn/abjmHYE0VxQgz75hvzIYhf/JMGgBijJlzuGfX/wvkQtc
y0hRPNNEKeNYpvfL15nS5C7Kjd29lcAe0JhHtQ2mU0+wOGqdMboa2yXUxMZFsgmfJCUgsWMgpvST
3j6nyK0JTvF2sbAe2XMumySfLoNBGDRxkXAe1v+/LEgdMHWPWTx1JDBS5tA9UO1JZVvfOuJEk/ts
8FSY+Cb+8DhUWBXxwlqwfwcGu+j3iD23x8ui5WLbONaHWzYIoA14dx3eCRZgoTsbZiicqL6OCA5A
wUjcvU94JuCungPCwKJM6WbPltzrLOUC9Hgf5NnOQYSsdjPL5TwZk9jOrUjCeFFXDMpoUntSsDI0
yhvihYg+qeQmRvcWOCa3dALIHzpEs22Fa6CgN15JJWBoaTEvLWqj+B++J/NX7dD6PZHcwcNUR8H0
l9turFIxQsV097GT/2i4eoNMAi6M7etycg6lGM6sLX/z5vwNSccPHeGe4SoLY6CNeX3u/eJU181Z
kPLOEwaelaxBYcSwD75FTLSjBfkDUGeeuYwFotEOrRQiCK1BMAsLpNOch4tbnf/54vvbK9/n+W75
KKJsLHT/foqBubMI1CVHYpH1lZERzTEAM3BUfyeX/NZXQYonAAKdYQXCtDf//OrrD//3I5SIEQoP
DiTPdv5y5ZNQ3Y5+RlCGVcsnt3bPmp+fZeM8qbp8cyr9Jmni9n84PDlHmGX95WVBPujCpFZi+PTL
yS1Lw9Rc0XLD+YPYtmV7U7HQ5Y3oLGnKN+WPl1ZhehiZ0vN9wGmdNRe6NrRnnNjEGkFHj5JsX89r
6HYf3xibkev9pGseXmvslUEW82jGUUZPRoqp6dVB5+kybAAZmtMw7TVLJuFICEkwOvYtoOk8iB3Y
fmNlXtHtPnWtwOcDpoOdCEOIfg1jj8n+Idgy6CV2Wd1jgTNlv5X6xLxnrgnA1p5Mx16nMvusT3/K
oWkCK0nArqrhwZ7Q5mY4LZtyuiyy0rD+Pjid/5kO3b4t9E9Cs+jwGPdUu77nhHDxYhIvjV2BFAu6
kj2RmJJsvQODfJD29eui1du+0dGNlpXYNAp8gmOf1qrHAM1iKAI0rJHoI2eUp84VVuB6PDRa7N6k
rnwUjshRI2NJJco2iEeImlQ593J0Lmslo5oJoqUq3srY4hnur6yj+CJWrhaAjduimfRtZL7XLf/C
qORb3WgfcT48gP86ePZwnBYg5Ob0PXgmwReuMYSkpVBIKZbBwyta6iDXCLXonXKFRZOXKxaWZ0n5
NrJf3s2BTAediX60iSxrW7fDpRzowbG5bruq/pGeCcWpKn7KaN5BEt72U/VYdGtEKD7tovxk6fro
gxxvjQXD9zw9ODWvpiJeZJ4AonQsSk2reOltLq2iu8G6RfzhXPwsA4xgtrpmOm+Nxr81fSIFGZqd
eluRnJHB7K9SuSdnTKxQzado4jwRDnqMvieUQJFoNXmbnuIX5p/2mmfxIY45QOhDIUkoLqUyQhyt
wwcBcvluSHY6FSUp+LHuo9XqHQczdPtIB4jb2PiRn+in70tmmpvCAP+HPjqogLQGyqzQl7lPJpbG
0Ih9BQs9/2zd7AW1CskMVn2eOqR6pj6NXID8iY5sPc6SL434DHroq3jCJa4t7KVqXEtLA8zTAuMn
K74nT/pnmJU1xoIaLiMu/0KoejP6AyGT3Aq13SCq81jQSi93wSE5Fw7SdNvxj4A+GCed7AHqhZHN
UJE73BW29Z2UKMQMm+cG0LVyZUsxzyEYgbSg33KeW9x7gM6NCjY90T7RYAcZkoCDrH2c5VPMA6uL
n9crBjRAaLbwiVLXvdQjAV0NDpsQLQC2Oa28dhFBbZsZd4AdyU2KbueA6dQKbNldmA/mm9FdrCDO
YaX4aUjPvMuVkW4hUtlhPsAFUcJvwniOvzQzY79H1YLT0RfBKlXQsmkjWOUGiZO4u3R9onKC49z0
PURTq5B6OGbyxssfR2l9tIllwdLHr2/DkjawRmcViAScybQjtvdtkReDUJNjpjDuSVMYQtLKClqR
qmLwkx1kxAVMqYmeJx255QHV6U1zdjqq/N7Cv2HiGoHinx6Y7u8kylT+LIYsMI2wrdGrlQyTexQK
fsm132jNS+q0JN+avL7fyLPuIVXKqfBKLuSkGi/wFj+jHnp7wUeU6+V5aJuTFuv5Zm3RmE3cEYpK
kh0OxIYQnqolJTlZjq7BKN12KpIn0fIJkLSh7Lpxk4zdoda1S5m3YPOnVG15Gxm/tGgI9fv92Vpq
7C3jik6GQem1ww3p4DqYSuNV9YVGprD20az732KkYKr9MVSSiVnMe+1tOOGo/BB+NTDyCJsDbANk
diy7nVTGTZ8R4jAa6mWqpNwv+OTNer6Y05qmEwM9gZO7H3pzTwcFeDCuf4ej9MQ+QGRpBr5vq0Fg
l9c/vurZP6cdhKQB75zuNN6mnlF4oht6RWYLjdxdYDDO1ZszTIFuwyMVVik32kDIUTY94BM1MB1t
JBwL0pPBdGiZeNLi9r5qKNfG9ZRq+Uvsc6OmXvYJVt7fjj4AlWk42nXx2fjrwmJq4PBiq/v9IuHB
hIA1sh6algFkQ+SxPt8BDN7DuF6CZkDYiIvgnjZJ43E4p9uB/YKdVztlya1mlCdkS9jZjmKxbiGS
4AbkYcv4KaX4MQ+1nPBl6bdV2h9Fru4c9tsQoEIv5TTtR39LGoIM9MV98YGEsKCFuFnc6aNh3DQC
+Rzqa4WsjRVyXPcAE6f5Eb9fvjGaZsUQkqRk2mtm2GRcKqKiEFGUXzlCKVxU77OZQOUucGZhVBZE
nwUaEsfAEfV7Ra5r0MHLDFt0X2k9P5gDYT6mUZ4pKW4Wd/gcpdQQdxo3YtQueu4RrYjakDhcbcoF
dE4emaOQ72QpPJYaEcfkCaVYPk4enKSgtcrzJOHmSFbegc7KScdMY8XIBJCs5DtkJHE/yU2rc79H
KMI6zIFTrr/1OUfI749Y+MJWQHwqX6Bc9qPnuyxtqkNbsHxyGtAZNdZH5AaQtTLOfMs6VVVyB2Ms
vy7EeMwHj0pnPdERINjhYHCJdeRvdb2p7XMCmMNGG43dog2nVUo7jisSLnH86ygvTtZyW+tM5iXA
MMOfB5I31qgMX53mESvr7xXMwBttYl+Ey8QvY9XqCnDqoxUzxLDnEfpJ+5oNfBRZyu9hm48FHMWg
KSMPox/JrFba34FrZtXQQpxaYnfnrDBrc4quJ4sf3dfRt94ZD5GX/cRmTeGQcdJ6TXcZJupqx7oz
CmiLOT8vTaG6+qosIRnT30DZL6hmykdVsyS34veY4dmZV4xGElkiU9+klUGgkWaAY5TYF5l7BoOT
PoM+kaHdNcle4M7ymluvMS8wsCQS+x5Db1weRi0uH/qYVVrqWJs8ZfEBefXoNrV+Njv4rpRT8V7K
BMM5puPNYilM+N70MaB44hDxIJ5AZbcLgOGGAo3o5PmlGZhdacSFQ7YAam/MxYFoSzw9IPnqLH9r
brMcsapWzy82E/Pw9+EaYvMkbK1ubSRjbrOx2w/CuqNn23ujxpaorl4NqWWM2pvbwrokjKSuQMeB
NsOZhnwJ2C0gfi+n91smeVsYMjla2VXupI+LkQg+iETHjJQdaZnnK9afN0WcCWLaEIcDsL8TZORV
GGuPfNPLpqNu3rmTw6R5mPeD1LsrcJ6I8/Kup13iMEeuPTv51k2KY4qfkbOOMIi+8gSyHr+g9mog
jowo2KziK9VSHxtfWZBRDKVJ9pecbbrGbZSZ0+3ANCb2qzN33N6vun6nyG0ddXdnRMZ5iTpjw5fw
Dbt02wIy2DFYafZo2q6SZj5DGLv0tX7MvQXbWgeRqkW+DEZ3R9UyHOOiCB1gNRtLYGsyS0W5hTG3
RXNMllB331nVOYFkSemKfa2xL4u5XDe2+R2l65jwplbMbhbSuzaR355nKpsJ5/kIomd0nCX0uz4n
mqMi8Iu3bmfg1/t15Bb5jxb109GdecTHQq0c5+7OlhRLGSc4UVv21rjuqvanpZvaGBWtXZ0DQVJQ
AKB0QguXpKuUir3RkJxMhc8LazoQpcJ7GouZzOUMYCqBTCw7prCFD4yT4kV5nXND9m6+SupuUEu5
gIJvPCM5tB1XIwvWaEeOYdkNE3uQudvUYMNZsWFDtTy8icZzSndueTNZ4Q41nQHh1cPREkriMPqR
jEHnqXPM6OikFtT7mFlAuclq3SeNuMShW3TXUATkFq9dNK50gzL5KLoSUXXrE4BY4lLEyId3QzuZ
gFq7WDubTa5YIXGEWvVyhRLgRa/pPNyYT2nBQSNhpVmEmCf8Uovbv5gJ8YmmjXolkvxrLndSwZAJ
d1qSXkexUQVFSoAbQpubRd9UX97UIOsT4O4GeaxEdo/SZc2dmnbpYByigiwH9PbXTXccXXLzTJId
KE/VeXGm09ziGo9b7WnGCk9LPCGWJOjLb8SXRIONqDU6DRyQIaoNAHBy62ujfWJa5cDdWK6FrI8F
jxRK7Ef4UaCTk+jeHVIwpNduNDDObh8bKWCie0RDjf3bGJsw+Cp3p5qe0LOVMmUALfUGIExYrCNC
VsLeI1FjXRlpCqslKO+xekD7T5XUkQgv7eTdAAi6lX4ig6jJHmkItkBv7Z0PrixPUg4t4gXoesu9
3wHg9lknBZ6J2dtcWWpgVI9ighFlN9lGNCDdHJHGTGt5JmRo99smLbfsmYaN8OunIZ4eLcO7t6XQ
tna3xpr1oVYgARCS3Ev2lGREaADlYqiffnzv+sZjtoYqmllPjXUyh+7VHoi1425jIAX9ll7K2VVq
ROwYD9/gK9zA1ShxltYVRNlJpHcmY/gmcgBaJc+9YWN1oGX1p+W+Aqurcmw4hXBvgFTtkGG1G+6h
vQ5me45ve5Z5YWqNcmcg03XZsIFni3edMb7O/QEAa53ZyU71GatSJIIB2Mw4oM6MDPiZ6H/W/wAD
odmQrWnsjNKFl6V5eyj3M3UdbVgSJcD5B/6u1rBE3rXx0G99FR+HlFU1bX2QMwHAM7syUrt7LcJa
Pn1MKy6Tg4QRhQJYR+Uea3T4op2/GhBbkMx7QIHpOsKwKnc7Dpi9V/IeatQA58rIF9nvtWWBUpaP
p0HbNBJNfbuYX1addFuzq15Xfkw+J9eFnyDJJbB+pi6vqvLL8I9dM+bY+pOTnjW/RfkcrvlkOoMG
TMPNtcQeFzCBfJnslFiHkstK5HEUjtOLGrgJNX0HLywwyvnbmrBTlxpzQct9kFb1xbJnbw7G0+Qm
HdBj9Zq52odMxn3p9EevhiWXMZq0iEUkPomGU8dPN7TJo79Ed5LSXSkdJzoTD77vnI7R3xeTgr6X
ySpAUkGLQkmrDlnN7Qp6EUPIetg7h2US+07eOPjTAiOhsW/c9GyxIeqiKdqP1epvnw+OVq7B8ZwG
szHwS+AKJqglxFLl0w//RA4Q+twctjlWKUQdxRXdMox5SJCkJaBDV8wGOjE10Aew700JWz8Fon40
8uOScBWakxJXfT/fFOkSAdCO80AqNAQxch/EJwAP/EvZiOJAHXDvLhse7gmKctYEUp1wkkGOILvE
kRbJeuWKoGHetOJMO1w4MwRnhOt1O97HqX4fEVAMnV0esczfKXIH8RfdZUgsYz97zWT/bACpCbpD
401nVu8A6aCvBr2VXcwl2rpcPlZtX6MFzYH4uDSEPYQ5y3gfM0i4OU5GXhGRDpDOmnAC0K4Tjub6
O/EUEw6Lx27/ye6AbFaDu6lTnxJXUsdNDCkgxViP/CebV6GwTU+eGOUNhBoEHVFjMNLoM8jBGUgz
VX6QFxY69ZKGzlh/S3qTnU8g0jYR1JALtjw9pef32pyI2wKps5Xt84kBgddkRCO5+mtX+g8eSmbc
JzYdBUEBjXBB3dkgm3EconuCGzk6zcVsfmPZgPRF2ND+qvgTDCj4ZgsyroHlql1dfQ7qc1LFU5RJ
lU6+RJwmEwW0fTW5BXmOa/autAHjIr3+7BUnkwNJMkXP1Qy5f2U2DljUlHSgSi7Hti3xSBKMS5EX
MMvbNq53Mzl4D1NE8IZGSJTU7hO3e/M/5+iRD2uBfTvgIu8/+wejWJggxZzvqrKCJc1fC7D/QUvm
bNCOQMjt0Ud+bFa3fledIwPYsYfGLFbWPZKJunrWK7XrdNMMS61AeRR7PGzlxjVAR9UO546tpcwk
6+W1L/J7M1msremabylGqKpacIMPhEFO4l20uhNCMjrOLhgklPcHd8bdnyTFNiuFEyI1uibES9uI
3L+XBNJI0k0Ds4vuB18NsGWQMZlz+lowGttHAGnCTtdhbr9GUU30C5MFjQ0Sa8ybQeTzFc+QbQZI
AKJOPVBKRt9Fh4ks8hsaZ2T8otfjY/0Q1+aNNrMBqvM1VAqyaqpStD6V/+RNtY3JkidWNiPf2046
D8Fk8QgrbXnFbjWbsJTeL65rkf5k5ZQZgO8mExWPNt33DdGAUK1vHeCs/lQ8SYaT9z4v3dujttPd
utkzHQ0LSqK9VZAvH8k1Xg0Ia2Nwl43Ys4JpnLDPZqiPyX+zOOaSiplvbGdvEfrbY161G13i3oHj
e91nOqSiJKm3BQKepD9nCTwCrYe0AoJ3RQs7kmYk52iYKqz8c0nOjO79uLlOXC0ZYm3jfQotRt6M
3CpwOOa3HpNHhD4dK6u4rHeZBTeaOcyN1BYJPCN+AwVgbzOa5VITy0lM5EkoiwVxFGdBn3kzqAqj
QdK8kJSt66iUYThR13vH1u2AvFTvrIIOdgWWQo4DVKqkPxS6l4b4T8ejrD1O+EWLCW0LhlkO+7m0
VGjr7pFGgrlCzKg2m2deQE918mtj78mP3LdYb9cxJBCYXMHaoYmG04wo4tBP5lc6Ue62pn2DN+xW
u80HrTks+kCoghK7DNMk4KA7t+lvh7JMwj4TXBttJE8pjS6NYHmwVMNBmpNW4oBl43tksllcUKIx
K7YbJ0BwtskLG7pMLL5ath6jNW/yZCBym08HqOS2ttqtMvMrttduCJiCDDNTl/veFDfFeG0M0d5w
ohZ6rLer6+5ZxEpduZPLgqxffbtjuZbQe9WTEyZbpyG9UQKTmx6Wtljxz/rEJMilzsW+vhYESzc8
6XBbrrhufpwFxpKm2Dowt2JhUPZMYexdmTOJI7LCDay2O4mc6OqaGDo/0XHyLgcgR/EWkV4Sli1j
jBnDQqzIuMztN4PV1yE23y0Q+kPiQ+ARZbSFvkEeOWP+VZBurb2fZtS/9U73mi1YGCPIV2mbn/Cf
vQqvwzdtN+GIEZRHyevkcyC1pKOGUVQBOOtqsBYdQDB4dIHtsu+savgmggcI89JHRL3PDQRfvBPz
capyC4Jo/zBOFszOPr9MTtVtZ2csofWDHta25EGQrbMMYm9ToJI6zgKQRUak7aDJ/kC/jK8ZeZ8c
bocdy5I87HP7e5zjJ0IdgMunDzDrEJY0sA7bMK2LklyPTjGSTj5Ypu8mnJ9BpUwtqDtmX6gZ8m1f
ZI/A2daVK1FnaVbhPsu/Ij1F9tlpxhaaL+aX60GAOp6pCA8VJt2wUnYesrp8l277bAidGA4C4JhB
xzuf/JNZYei3pxjWNZdj671NoPgk1Qaf/SYpk4O0uudl8fV9WjVHZEEbcxoBWGoeBYcFVKMUMx2/
+k4VN5zBoHXLAovKseP3rjO4Kcz2dkqfz0Wab2N9USDjJx50KX0sziCaWDoOz3skn+mOWMszJtN+
h+qPLHJv0I+LomUD/E1IqdleRZ1J3JNRhxGKPlOgPjW9CF5rVW1jHH4YE5FuouZjfnFOEm/ctxnV
ETfHZwGk9qGihMKbQ9hD22i7rlw5vvgwIWJfSmNbuAXWX6zTdR/tdGJ0NwofqIRjEkvuagmmfuN4
1ofFxCRcYwkGF9JO6sKDb6nnILDR18SkjYvLUk44kzS7C4UsbwWM3sUbpp2pM1/17ea1pwI4ylHc
MYTfjSUHuMt4P8jIsw69SegAfg2stnF0UQBCQ5Xy45xs+U3LiS6L8bJt+NaYChpEu8Znc/Ar5oyJ
f42YQIbaYrpAwqNQW737OcyfYIorYP8zGzb/tXgEgxlfc4c+uQMufC39gIpBCKfJEeiJdX9QO/Yx
HtU2KQBC9B2nd8EolrEQgcbN9KzLBoEU0dqEAuRBLUDGFZSCypr6gyR+bJ8Jtbezp9odrVdshTxj
Salpyera5W3xJnTzg1XNxHoHLL/pxy9NZTxieb1TidNvMKptM/gEO02SglTF1d6wraextcTOFT++
Pzw3rjYFqEwZ3eIxMqImxZ3r/GSWQSJX5RPRnldvo5XbTAGKrVuyGE162yVMjgdGFCjWbls6T5Zz
LVxaMg2ZndreRi2sWucoYpWa99OhuRJY4ynAiaKLixUnv5BUmBQDYo8acvtcnweHDNt5JCFvGNQj
yZWYmRlTpAVjXrQPVxgDmDlE2IJM4e4/oQV6O9rXjPWFHbj6+MpsnuCt9Mp2iP3xRv9mEdExnRJm
JA4dmo9Ofa/L9tNCN74B5dTyEARrlTcZyXBewA+8wSgVbf0mn2+qXMIKEYyNF3nB7m/vMQwtKO53
tjHvHGmw9eoZpwCpy3aU5duRFCCnXQQwyFbfEUSzgfaUA4BzNtxWAArFYIbtLht7YrSK4cNO0vtu
VuWGsbm2TVl5F5HIb4xc3HYlTB5Bpl8uxVPuM89b5+23cbEwEl8/VlvXwjr2v9oaKHfpPDnjsGsS
zjEnyS9E0szH1iD3DmrG0Vf3fUIFDtd5OjFI5XyFwjYQNgZCytklI9/hGI3HATAZpfjwUzUVX2NC
OE7h67dcivWzRYQ3PgPIBeawY0gxb8gIUQCkuGpVrtMnO/JSmfbn3E8XGSOGl331EjeDFnRjeceD
Od+yxDrnA51l4pJn2/U8uRtHABhU5c2wPvoyDTJ0aX9C4Mi3o7X1kureELQULgMtqj+TuIp5R2nG
hqebsckNT11GbqSvloe2YmDoIHHBtbkcXAbzBKDgZUdDtY/zbbO+R0vVDI6wPgX+YD3ZNqryxSU2
LLFfusHeVBnBD0o3WEFqJ1KkWCBcdyWrfTNq32zL/qKY6skCHl4iY36h7fSG0gO55GmsET1Cea3s
3SgN+tPoYpWxoJq378CkX5VzvS+pMMAj8TiDgcEAsIGwutzN03QcjRYxsZu+eppcU9AC8AgkdVXF
sU8qTLtMPaAv5DsWOD5Tc9nTxCzWe9HVT03NL5yI5TmKxZ0X4f+1CusjldG0GXT2dRjxvzSXTpOL
4jz7zduYEqXo9RfoNwRfYB2dF2c/tfrVvGj7frBx9DnuK8HN0JrZBNRzFeimOCVSEJ9u1jsr878S
Mk7cnr2+nfHQX2CcpL6iwcS7jNLBTcNCs54LHPlIq6irJ9LMAgmLRu9WMAMKT3tmqF5p3psejRvV
zm8lqQY8bNE3IOdIM1JBZuHRexbZVxn1N5lb7SbDPqAouKvM5U0Ojs8lXF5B3qR2yFKDUOhb5aOW
o42ztgjvr6cKxFCGYGNDwpkPI75CxN2QGqHZgdYgriwLUx3tfuTX6KrrObKp2ijRZIZswUsTujAW
ka7Qx8Mq/IttW4N5G5uhtO7BcEIwVTWtaDq/6/Fd00Z4bxiS44U/ahlQU5C4g0Tc35c/Ax/JER8H
9F10uVRz3o3MsWRkaYGkCs8wUydFzlGRfDqZQPWgeFZUvUMGhCScxgJZls/beOiWnVxcvOkV28tE
r55tnfOznUhXHary24FpWLpVv1WQ4LZDyj6zW1NNFua5IRsYNmFd/2Up78q15ExxlF1NC3lsOX+H
V2EygoiOHblFOPXuSWUsaWrJY7uhusoH48Go3FsHSo3q/eupF/dNtisy9niwVIOky+5Z5tjBTK48
mRI77ioDRb/k20+j+6RhIGvddrN9FPbTZDsXlkHDLsbbyoty8WMVH0IxXbVAwa88MQGDI9ijJNzZ
NQ4969ItTqXTjOIkaDtukIicaFyfHwkxlGrNo/Sz5cKE8HmkZroBVYAVnw54zLml640YrPu87abH
fvptTsgvq4f27MyMwDHWM+WOyj1bQOeQKu2W7NW3IdEG2EV3GtTBR8UYImmTn2Zo000O1GTRfUAt
5hOW1PEKVT9CDYfekP9FBCaVsb21bOgwGoBNJmsbNxmfK93OOYMotsX0iJf82neGO2OkTFVDEWot
UIbcPqTOSyG7ISRWmiwy6vRoXWgpjNure2wnNRRKKJCK1bYFvBN/u6rtLCyKlHtPz4oA+4+9bz0m
vwMleDU9J1GMh4KLJogblzo0L1gBEfqxdCgdtCLfcUrO+7avb0wrywOvl9/u6u/3MFEEmetWmDbK
ICNOxKkJuegHloEMeTrJYz9R5a6VWr/1itoOxBwfK4KF84EWRDDIIe+73REa/6SPdrdxquEFzmsK
VFGkm25iRTDtCXK9VlBZR4BgIvYU6T0++ajT+JzrI8IaRdPjuwBI6mNTdieCe1IavW4KhsZAImNX
L24b34ME9EPTJWil8zoeQujef88JqcwfTa6X5jI/ou39RuRncjA03rabRqb1zXPFbmSHB5qspwmp
xojyxEievJnCwcjZ2fUTsu/ML9+WnkcRvpaXKGacXOvXwp4eUzdb9jk5ZES2rGSSGd2IshFcRTui
f/6DsPNobpxJt/R/mT0i4M1iNiRBT4qUlzYIlVRCwpuESeDX3wffbO58c6Nno+iO6q6SKCDzNec8
p9on9TGN3FcXYU8xcXRF0efc2oyul2iqIZlyYB64XHrvoTXM1zwldGkAw7XKIgtqROowlw0SInt7
OEExc4Es5miImgrZUGNRNYGi4YW3LJ4/j2IGGxqIgiwoBl4Th+dRk08ZM25mr8uuYH7MTVYOZmaf
4wDpjNlBZRl8ezOytd0Epra1O3w5kr/XIsl8nZZoM4wetRtPfOZrycbQvN8yQ12ZWPUaj6O+bTUy
J1MkBGYHQEsVqMhSuxU7rpfHEuMhYxhv7TV87yNhLUaDNY1vZDU4B9oYL0Tw/l5oMVjl6s1zckqJ
0WDrmw/FOppc5qF2HVB5n4JUNMc+9jTmlZMWBt6Am1Ke2W6R6Sy6E0oT2hOC/Qo37m+/bQkDjkYR
VUAVIg+dVh6pUaHO9C9loU6SJpfYyHLJGojaBt3bsh8JUE3UFWC4AlIo0zMUQQsbmYHbe8AyeSWc
c2WmP23hZSfPIqUZMnMn7l5f3i2ubng6q7bknIQ6Bh21ABPmFYpBtgI3XBP9OYAKCxb3/AAilMSf
6LVypMn0kbENPAbUaujbHLmrJ4zlSrwoaZPi5fjNpmwuWU+ITWKtO22jl8B10Iv5c6sTZTMDYva5
gu0C8QwdCCNaoALkuLnSvFJ67bSJ6EouWCxCM2yBYmC8OcPxSdkcEbQHz6wNUKKOOnvWuj5i2J/z
4rNv+DQBhn8lxG8RMULWi546rGumW68bj3XcPscFe81EI92YOffoDafWqcVW6EttyGmck4nJ9nhi
Hkc2D+g0UT7VjrYdo5Lw2CZZEAR465AWAlMYvwjCLNCvoCSJ6u5WF+2dtJK3Pg52xcylYnUDbelQ
hr5hPMzAsoocg2jnQLVhxLNi3giLYxEELZiBGBWCOUQJ+whmLBaoNMTax1GgM3MysNqzA5CnIw+D
H44QIB+EVlVpG1EzFMtHmDjMI0+It368seWzE0quhzp+bAuCAYtBCyBZfzDIYkspL6nlfGU5myzI
tuWhY9NN0IZzyt3yb1yXJ7rUr8ivL1UabAAWHDSTK9dzKfL95KMTwUE1L+M4nTy9Zs/slMRml7Tm
QGlW+Q59BMnCXffmIHEi7sf+NQrtOuv2l0ehbac3XejdSRfdr+I8XHeq/O6tPzi8AaW0FoJoQUZS
PxihGm2aPj0BLr9QmQLNe+/T4muy9xLOalSTFNoMxUjHow6GbpB52JPXdZ9aGuOKKGIcshVKdu9j
wje6Q34Yb2YNYrJj5ocxB4TFlfGVp5SPwISIVnEVc5q7a0/u0XhymVuyOad2HHvIckSWOq0ZP5sN
WSe6FtwSlqtwQRgapiahTjnSDp1FKrLCrZpdwsID4jyHP1qHP4+P8TQETRxWEd5EKmFOP/tVsX8k
jZzhvEl/ncZ9f2ymKHSt5i2fhgjszvxm5/WH2Y08sST3rA1ep7SjyJfQi5LAOvChaue0XjxGIOGl
SfirKVk7Neh5/XEI4yh/wfCCFxTirREk/O9aNZHDdDdS7TR3dvPcJ0zJVVBcW21b2AB6S47eqrFe
0O8Ea1tmNLTA/oBLHKe8yQ7Ixp5kajAst3ldEaWcE6aFK7ub9KM2v8kFf4gQpipuOv7VbTpUydmd
SIILcCNvfKcJE5Y7fa3GnejpryHGXFNp/W0K/a9icxkZaJrBYhSVcSCHVkyICbPAR7cKqWnbdCMR
AtqMjMFdFBRRtdNAbsrW6O+Ewj4aHBZNT1BNljD9cOXWyr0b3d67GtLtwvo8amV1LCLMtm7D4pa0
wap2q7PRNY+RMI5KMGKZm4fIBpCTRSPYL4M2D20in8/0ngNnWzOqfhMdnUUwu+GUrKGzcUFUogmt
Cn4cnXfVttESHXrpGeTEsEzUSNse/HT937oIvGuPlRov1WPjynML4S5KyycS85ZkOzK2nIDfUEmc
5RBEOG9tZmfsS4fOULtYsMnok5MWlTNTB9sIy+E5aXhGBpf5khQHz3ZAXRPMRsFLpnDm9aTzoMLN
SusLz767QclFfSsY3OvuDzxV5lgcwiu07kwviJPMRURgsnQeUjnTjDKcwMXKJS1NFarGTJABbdvE
75cXZO30U/YaKYDUpkuyLb53mjz3naq/fmICn0xtcJiqZBkD6gemS+ADCZg9wObZoiV5YCRTnIhN
zsiCkPpOh5diY/d+FJWTPHlGuhc2rXGO/n1PGsCRbWsaWprpsfEmX9ARfGREdpTHOFLPYmxecOcb
Z5iQ7IfADSFkMOeTtXxRuVccKnIxy94OLn7VB5fU7I9VqU0noGK/2A6TQ1sXw34YiZWiDDtRuI0n
WxvnMHASLvYRXVvsG/EGkED+rJinPrBhuxC7Yi8iwVCb7FvGtbjFhj+dSoREJ+Lp3zpSPXdpUc1n
YeN/ntHrrdOcHFnHEnc9/5h76AEkd2nsrGC4SJMQJTchYNQEMlkP9nWSAWMqe/5xo3tgR59gD8uj
m4vQabN7DGrPFe2333P8QuJExDKwLCjSEQ1MJM+zwPaP4t3i0YqIIxo1HwHyYfYMtW4ndqV6Bhs2
wxw82XG61rhCwirukzN5xuuJoukgDPuGUAFGK78GRq3Vc6oxAGVETp4Hr5NfPgeS05mP4UNOGP6h
F7ATVPUmJlkPHXz5JvQbFATqR8e3jgynNppP6AGuhC8Q0uyrB2Naz4n7pQqUQehxFWmmJvdKol/M
NIWsODiPECFlXHZXQ/8QDWctvmxvPbh4zNqKc2eoj03GxE1Hcgx3euS0QJ23qXTGV32Vf9oUuong
Qkag74UAdyh6JnEuInfrFWTFwIBsTnoNuCefnxz0JGtHMx9HI+r5PqPsZGDAX+E6iInagl+pSL3j
UKajxn5Ik8aos4AfT+09rTuPfwt4kbZpFe1pnwYvgQTP0Tpld8gHbef4aEpMe3wdGyIaEpNNtR6D
C8IfitjJpZsxCwdhKTnbljRXnsybTZtBgCtJdktnEt9c0nzX0tEtdmGo00UW8x3pydruP2yF2syk
fior5uQd9SEsVHlocSSta+fAbLM4GQBFB2uejyBQObgt0CFWwRRUMRtZBF5k3oel42mhnKNi66Fl
udUAe80GdV6q+I7GHiqwuQ4aboE+m7ZTMgRnmZGHKRhEmv1eTPzkoreKHcqYfZYJNkKRepIjwZng
R9BYHwaT6kKO9pr54XiwZ38Vqx7iWPmVTkrbOCP2lBJsWEsIvdP28Iu0FvwtBkPgujoSILZddjC+
4DRjzuNm8bYYIaa4Evr42PShpsuIXiPdtqOi9bECH/97soy8pLONWF5Dn2Nx2RIBw5hnzxiYCY9C
kINdlBQd9Iv8WguUo4kWunm3aSfLYJb1N2KDtCuWXaSZ9PcAhCePCsSEmERq1+FU4o7MNoNtlwe9
Ed+OaEBEpfO266fk4Jm0Eklrp2HbBYeZfe5+JoNtl1Tjn7a3N/VsvuhG9piyF9h5DhM/iPbLkZ2T
KeMyx4MuMKcEfnTDJnVsrG06gAoZkR9RNekdv8d6CdNEl/Rpjw7Dv3umBdhPsrPQYg4/dIyR3T7S
v1Dg2mStaSU6cNviFTOvkQ3VoxivGr3x1pgfaMWrsC09G+EU56x+YOCKYsius92Q6GcmSed8hKzu
SwLr3aA9IlY3DkRWCMXCrKk5UySujowsnbxheelzUgNqoyCt50fw68mapR1yP43NjDPd2N+Htp2g
6RofJkyWVAfl0fHzm/Rm1jbmkIZmxQGnWZMTMoUdOZEUOcRS7VwnPnUq8EiwN5ase0Y9ZpL+qhZX
Q2S1alX5eEHLX07M5ODz0abo+hwv2SqloxGTr5biHStt63Ue6kvgR/ptZ3pMV+PBfeVc35W9lq3d
JXsqwSDJNRqOCTpHIex2xwDowdOGt7wRJL8NwzFp3Gs7+q+2oAo0mkWXOyOVhGWJi1shQ6PdD9va
Xzzdn87cbWx2KdseAxgjlV+QO+TnJiYYW5sJxiiRXaggP7BAR79LJO92mhabab+PfSbii5VIwOXY
ejVx2Jkb/Raj+F0q6DGnU0RwHe9SB1FXRF5jPqVU7X25c1Pq5HnWrlVlvs+I+X2IjfsBuQYeUfZE
7PRthF3pg7PIi3rTOETG2AD5p2N0Rb3hmTYsZzpmY/6CC0WdC+btFYlrL45FLOwUPxhFLY+mHbxl
7C6VRYRzvGTTzq5GklC/svQWJ2qniJ6eLB+Tz19fZ1rgSKTkwfwOEDWl+aNodF2THN5qesBGHB0j
y3o0u+TWG9hPi8yDb27+hXeBdF0iajXjQjtYlnedIrvhISI33tAQUrVMjDvWn0PT3S2wpue6UoSl
yJpdpD/fCjSvNzPNvju0gcd//puPhgpe3GwROrLUdBXi794mOmRCekxUD/zUqfagS/r6McOUdCeM
fN5HYpyIfOItmwNE0JU3peeYoC+0bRIpE7jKI6mk4tIbpAz0LbxvAWd1GWma2Li/xaLT1IejEeRk
NEraHqnrCumaG+9w4tjHAVz3BXPGS9Kln9Kn2mGgVOZo3P+Wevc69oX+E3sdZZrewJlHnMRcTQuh
CqCENhDwyuWL0Vz1KsrPfRNfKUS8fa5R8Fl18GITt+LUc3/2li+xGV+STJanuu3Sda/l1lGW8A1U
yqJrFvUp8bsTGdVkRPkZuxn1NNodlqc2c1Hpljtkm8ZmAFfJRk3ztykznXVZIJCriDxbecuUtM0J
A7cmigugc0NiXYhKIpzMO1WIXA33pwrs8iLR5edtyeCNfZXszYMnhbEeK0Az5C+KkPTdv7OX/qn8
7piVzdVjp3wjIAmlYhxvOhxe8DftnZawWE0SVjD5VaAgcWA1QxpclKYjTKBJkEMr6s9mQoTglv2G
JA3ICVQ2k+pZv2dobxIG1tc5N3rWzuIeN2xUGviQO99z8xd9mNnSOKVGQck2DGq+FlLZZNRbs7j1
jV9Tj9bvlWumJ2ZG0bZzzPpROkG6NrSu/0rTcm+0JL26k/OmLm5sX7ylfDRe8Lo9zUR2BgOzTXdq
YU14rx1w9o1f9zeEVPtUs5/MCKVI7VJSzE390kn7LkyBoEeoXduUe1hVoXDUegysEyoaID0x2gcQ
4oxwVL+e5+LTN8iemrgtk8h6Fcz4iK+0RhB8stjQSLCYnxE1mGFrFghi2HfVU7dDzEbzwIfJMbGJ
rKuMkH3xHa8ChUDU4lhwrku3kPDoEZZWHdFHscw09UMqcraR2Ji2yrRQvmLe1iqA/X5oZNlTZRp8
/pScZc9QQZnFo+sjtBpphYPaek/S5CRBqiHmGa6W5v4qNMsWL0SGxm9fWig9nHh502LtMkce0A3N
PitAG6t0KB9m0IhAvIb6Vk9Ztk6H9HtoeQLWGIyaA8vtOIDMMbJI1/BWxz2kTqeoP8jOQbo+WBEA
L+rufmKRJ9ltoyzRrgQNuAdWzDlxQni6kEBJl8y+saLDqDxmI+2rRBgP8SyrN/NcQ4BlW+i3+bU2
DYQuk62RT84qMbfvECl8xFuIJAvDPo+1e0QA55ymov0WvCobal40WZyREehABjwoxef5XqU++xQP
O0zBIxcuIYqhg/jcCPw01EmTCOUIqTh+AIT0E7EbP7Pge+pnM9hLW92V4rFtKQloPhXBrpnh48H9
EJX1Pfac1F0r9asxtGzIJwoOeogLd9r8cELupzaOZr/3tvpq4mW7EoFYT9nnwXJnjlj5H1R5/lfK
fxijxjyoqCx2gjP7jP2FQMfRDZAvOaeR92WDKPFFeMilc3+gnYnPrFl4i6IRXXYN5Ngsg40+6vva
hs89leTV+Pimg14P0Lfo3X0C1bIFLpRRB9XqNIH+jyz3K8GoyLvoG6Qo5VhwmJA4wNXPMCYW0Gl+
j3HjA/RiozCP+i7SJ3yNrLL6ttrmuCs2bYFWvjGBMhGciTI8QW4WeXSyVlAjj9SiL7q8AWwxOx8x
+MRupwJummQxGsz9ncKUqYQzUlcy4a25fKI66o+RESB3a+EieNIgTU+AnBXpzUtq5pqGBAkzd09u
sQaKmFyrfqbUrPzyMfO881B0BA4a/bQfZwTjJkzag5px9s32aDB+p5BIxJheuNFOeWFVvAi0r5w9
GjtQzOUqsNPNWETypMejtapnDUr8XFknQkUS5h5N/+imDlxBjZEjTe2LO7v6xcn1vy4q/WM0u2lo
59qHQ5tyTaldcTaP9BHtdLSdliOKAGqXGbIZtWxO5r0NoOrIGrvCvVtELAoZd+tFNFz8ohkuEOew
zfcHGKaRTYRE0yCyEjtRYVtlp98fW6/bFp4dHdXEkYNpw994BRsH2PjRuqvLbGcG1OZQ9poVSPX8
qtcfRtlbZzb2zXHECBT0+XB2CAo4d3N+SuPgrrk68END3hsk7oe8MKgPYhxoidjRDHDlUIOKMso/
Wl/nbSnah3roqMcJzcyDgR3BaAxn8uY+FFa4gxEJPbR0tvASOdUmHqD+6ihblRcRem1TGUWVd0LJ
RzpXZWeH7C9zX4EatXmfCpE/aRfDj42jxNJM24lOAzMoIqU2+G3xLwPM5TbSCO+bi+wD6faXnVv5
WU0AwhozBzVkjLc6NxQ42yTaWU3H7jtLL3C8sDDF3N4TMRwd4ewbIfN2KycW8GwPp6NOSGiJghrX
f5rROargZFk4iTSzGig6OIbgMgVrs69JLzD7dG/3HLAyya7NxBORedo2RkuItNO4VItOOAJPvzP7
CQub/QoRWdIBJODZx6Mo+vwUdfKj62CJqJpxA+uXixYYe3cysWHJl9GcSIFfxmhekZ3JnPl0miH0
LBMta21KTgLcdnSDK0arOlr6+ja3f6hCGedOCL+Eiwo1Bd7ewVHqOjIG6np8R0ZNO9ykT81QPhrF
zN1mpmwYWZ8EGXaABETvyqazmeJ71XGTNsbonBgWrAZc5J+jbv/2ruNu22akTqCcGq7kbTC9HPsT
apQPy3MPbMLilc6HJ4ppa0sW46bP9zt6GFdl/At3fo/bh7sM8IEPrnLFjuOjrt1nqEHXLiW4ujBQ
paJAY1zrKqLqKVl62fy4GQ7h0qh+GAxmGiMmJyOaVvdaON9Ouc4gd9roK83EYbZhVIsemIotDbho
k4Y1rW/xhOQldQPStFyiAzHYfendcJVd8CICv942iJDJNkRaFyHByz3gAb7EzVM3PDumuDUoVAdM
OKsUH8fs2A+mM38MWPRiK/m1a+s+duOqbt1PkSO+CCbv2cWsAsn00aoiPOvJn1lEX23LTpHNVr1q
DXQBnfxj2Jcg6h/SEuNsGfCnsh7/zFZ1F3P1uWAvtJbZlSzOUTvw2bCtX3VNd5hhlFeje8B5++5P
abBqTS9D8xI9Jw56oAyWYJ/JjUAjuLLd6U474zvDmffzoOsEJ2INdFpWSk4OCDfLF3c9pxLqdGS6
myKZznYTuZvOgGSaargELNNlvDJ27z4k1H+eGnNGe65ItBnbZ58NzYwasrYh8QBQPmJ+2Wc4tBgZ
eWxjUEU3fRfSi3XrBdwYCpIdUcSECBK5L6IEjELDGEJDEitoDcjCm8hkcn146cCQqYBumXhV7Yy7
k5hIXK7zQo2nIdQCZ0sMXb6h3d8YwZNXkYTeOixjofwvmAH/yTuq4jA1No+bgSWsdO6wJa6+46AE
BKCJE96pQ4gPRkxSu+bGz0bbN+y+av4F/2jO2oNvLiJOKDQ6PSrgnk+bFT++EaKRHGWx3QgQiHC9
xbR13a5IHiHFnG3NMw7tnAoK7t4kHWsU964N1sMSvN6U7oS+jFiDtjZBJ87VC4iU4sYoSff15eKk
F2SLcmWKddOkhSpC9HAZo7nZAsz4bQG/L9yPRzNtqMg8jSKVINMBTYFZ60tVkBNPNSj7QOWDbWdP
Wzovbah/csSEnJ+nZBZxvDXcsXsmNXI/i+5OTfna89LEaEyhFTjUyKWd7+nsiPkl83ITM5WiK0xr
5qqwDkABZxd7VPiudNi57JZtsGcQgQL0cywn/KhX77R/ayg+/ZcdW/cGDjtxE8HBMTt+LlUcO++p
YQd7nK0aQ0iW8X17COVCL0bxiP9AG1acfLjEoBnUzBLZtO/TIvYveq/OFpjg5G8jswNjQbyCS8ih
EzyYCvKRU7BWRAF48xAq2R0maFF5L42GF8T3/HCy7ZdeoSAih4aAUDwsN5Z3t1GbxnWNL2fTld2j
5ie7ztK3STGP4XxRkGW1Sd3Ekd/VVsejUTEDDT0TC/FwcKzuSar52WYWt0G49R1YiHKM5mWQuC5G
wkHtMX9SMkULVjvhzE2O+EZ75jwjyFSLXy1SVJAB6+jdkybewH2fOeFXnq79BjXNHpOCr14vTgLL
X1I2t7QZDl4zfwfetLNQjEIay351kkhAAdc72WIv1zV8kOzLmt4/dSxoL54bP/jMlPe9UV39phXX
Ev22SKCT9JFHEcrM6GR8sNCl9leDtR3mPrpkWRlKkzWQcGyf4Tnf8Ny63VkNey/rHjRoOy95l6a7
qWRNmBA1s07F4hh1YRZw3lCooP6ErKBHDyn4+YYuY0fgFBFkuKgLf8zOJpNejA/BcQZ7uAedcobJ
2R79vEgOpWL4ZDfBxWO3G9G30TX5+slx6D682nyacl0/MEb8akQbTuQvhjFo1TXAkE5142WI82ej
ivDlOQqxQGXVZzsv5qOym3TZvv2QKE7rycoNesGfOnPZhNnOLm0bk/dm2dKhqBvcaiMaOnRDJ2C0
QdFmVgiDpMVvSfTjmtOdsWgfZI/8qFs9Woo2PIuHpiVWoDGqZxt4gBMk6UM6POq+Gx09WfBMTl7N
ajF3TkE3V1vfWlIu8yp0J1G8GpH5rbfBqYhiQjtQ6Fl+MPGWIh5pMgf/VmJFzxSnZKM+OKSNfOpQ
Vja+cIpDrYqtSrN8uZt1Qi/yea/G+FZbenJMY2Gc52k6zpLfBeQZZ5c4tHkTftYzIt+BRTz5wO4p
nox3pgzDPu7sJYq64tMj5Y8HceZoRRG34Cip6QlkXuFHYeaA3oLx0GSoX8IsD+Q6MOPROTzRMZ0N
2YdFgT2wNyENav0hWpaYkENyCB2dYy3xFuRpeGpejXoLHkP48Z5vGL0TwUJ7PS+a1ZgOznWy272C
bvY528nBBfzT9t6M786bzqqz9kDQvpFIqNfaS+9N634zk5z2QZ6/xayF1rGZZMdUGnfFYX2yAu1X
2d1X2XrqopQ0tvHsPNHNI0oyi/yqhP7Xs+lOOrNivTUEFtJ9fXE84/lu0SqcpFFsEs4L7HH+M3E/
5s52653RCJvLZEguQeG9aoMjrvF0VYvExqjdB/o/brm0ImiXSduVy2afj1W+62od2txSH4PpGZET
FgjNdIjKavFc65l1mvs2OfV5c+qbwb7pPO2hV3pe6HceRvEkPw+9k/2fLyU9ALtxbVyZHoBq9FPf
LeL8NzfNnU3O+ht7rQOpE7d9hwSGaOMqfzIT9nAkN3dNP8HTewaBLm7J8oVpu1k009nlGd1j4hJh
H5G6i7ygeA46lr9AipJNa1E21plEIR6V3SWT2HYrt9uqsf0xMzc7tsnV0SJsVY38S8p6i+mGQQ2+
HAtL1SZnONu3JFmwrnsu7WVrpKxj22YzBpBZbeG6dNesi78aHnko5GvLtpBiA3Poq8xYG370ItM0
zCWOAWkhg2B6iaiNMLgysHaj1N7AHyWp/qEHpJM33fyBrO0bn2VJziVqFWLZBkciRaG+LHqG96Po
CH4gmmLVEbu14uPPQ93kdSAgCIGX8ReRzLITOHHBL8pfa/pbDJZ3spI44rNx220OhwLvvjXcgjSV
Bx1TnC309pwL/64RI3bWeuHuMsYNzJ7lzUQ7tivS4DHS2uA8xebb8kIzulavvXSRTfpyNxJpdHG8
otmNA9Vx3qDciT5cP77PAbbMnK1cSOQ1rAcjTy42B16BL7oXmn82Ax1Nn56jtIfQIvyCiQagi8BU
ZOyW3OwlJh/IBkQjx7jF3VRe1IwvTxrpt16yF5TwTnltT2im/FNgIcYd9fpmVMhyRQEH1sV2ZCHH
ZKYNKacvyd6tNUCybCfPGmpMRuD5t2NmTwENQNnC++vsbOOAnV9RRr+oSCU7LWq+h9rPDqRM0uUE
MgRZoq9K12WL2flHydaeGrsfQJl3zjqRlnPwiWbW9sZ4F8kjNdW04SdC1RV5zsnU3HNPp4zT6MsU
v7KZn4y2hc9c7mpj+eFLvggZbBFB2thZyqD6dCVybR9Rx8tGZ2jQF7F2QHHZHyoU0x6ZBXp0s1ME
b0BNd03BEC1JMDnoyAG6yTR3pfsTC9RNYn6rMLGEvi4lDk/9FBOVvpMeNgDB/KTunTPGhujGvVk0
FnukAh13J/JzQs7nqnyWkNUYJaZXb3b2HoFm9HfWhqrt1hAbhq5ugVF8VS07iW5Ryidoj+OZnMg4
4iU3zObmj0yoQRCMuBW5/cqatFFvoc082zV/ohupv7edd5bLlBylE7L5/k0F+jLEHwRWmdseSD73
JD/EkA4BZ7m5rhxzA7v+y21wp3EmsxeIE+aID17pIroRcKjMDPgef9dOj+F1Iwzb18bjRMrIulE+
DZ7u/HnUySnnW8lmqCDMhYFmJUtRJX2WoTF/qZ5lO9nEUMXZ50Qj4JN2QuTsKAARefBFzHOyV0b8
Lmd8R2PLQ9s03nth4G6MlL6G8fJdJRaaz/mU56AoBq8HiITiL9UmybYYk6qhyickSGHQ9D/wxli9
+3AlQFG4sOfZbOPDnNrot4q9W2vkz+xcUDcVn81oJegZIUL0BuW2TfOVC28/AG5Yz+yXKFk2OTMs
QH7JrylZ8nsuTBVswyWGws6Xf9KamgveFvzdAKud2zErtO9dRD8bkaiXxjob54RbvPboXGrOo7YD
AKdmlOoESDMSYEI6uT+yUE9ONdF80lRPbbOCOqQhtq3eRoMjbvKyahUL8UWR2Cv+mEXwQ6xp3lYX
yIGVyemFw2k9TBMCi/x1NgnOUm2xY4pIYFpBn1FCgVpJc4D019DJdGbx0JlYCDy0oUSb6Tj/+FJM
5dUOxLmKEdWRgavRfw9bYjZeB+C3Rs0nz8Y9n0R6CJhzufIzTme1M6EVoGqub8O8/F8maMgOVTe+
SqrWrjOx1/Q6IgJ7a9PMxFWHSxgkpMHYeOi1v6JPzwbQV6DFo1n88s6cMecDNCshulB/XP4zh9P+
N//W05leOSgLANFBhLL+xXpGeTHDeLWDXQX5bkP4H/RpAHaKArjzsnOdPdpNfk+S5BvG22HSyz9p
9M/6hmXnmDZrtQAUGWuUK1w+K1PjPU9hvCWTlzO1YmYJAJLdhDUijAepvJGdPS2s4pA0NZKKppfB
5YUBav1d5Pg7tKa6K4qADeS0kA23v3aT+EEOAzw9sF9BXPv/H8Cx9z8wQYPANnUdXLahB8a/mKDE
2Wo2/UWw8xAdMChMvnxS4Mk+RdGxacbxWOraxzwAi5uFfyijY1+3T6DLeaVNBCNoNakkC44Py/oG
qGemgoqzRpvdm2GmiCdnmvqZFPXRXgBwtglBL/KddwunuK5BiAYT/ZP9TZORVz8f3gq/OlYZYUUB
KvBNLwMDEQH8kal4Nsna2mcNBtLFrJGbF/zWoP6Bd60GExL5RXWPpNq191lGl7EAFudqLGNGq11r
P+S7kBEVDW/kasQXNCm6sYgM45zXqAg2lpXvijI/Szf9tJoUWbidfMSKOsMzoGmLiZfbGvkFOJ9j
7TyJen7/z0/iQr7/N5sVXofre6YJsxDPKn/+36jasSk013CLYKfM6nOy0m8DbRO0zNdPJZdzjc0V
gOL8cxqjX99W7NLgkkK8DMl2YX/gDG//+Rty/l/qL1m9BkB9n6+QaoHk//dvKCmHCBpfGxBl9S6G
5M2oj7nWnSaXfU0qmB4Yhjugk8gP4PGgs9r9Rsti9sXGpFN/2B+jpI/yhhIFHQ/W8gxLEX8HDnOB
XmNJVvExa3X9ylqISYzae8nwHSfMyPIvR4KhNOKL1dp7gGfHWnZvZcGGIzC8N98c9yNJ1kjEY1xG
OMsdPUIgkZ//OX6pG8H68f7RiB/4br/zGr1Uk34mJResv7yroG/+84f1D567yqe4Kg8///t/LUx0
XiI9IIGAyZnFfvT//rCKUtozLxI0YT8iKIRKqWZsC/mERFrGNGgkGhf2R/FTyTbaYbvF6EaR4qM0
x+PZXHzV/8wer1HrMRdfXK2Rp33S1OHUzn+l0Upscu4bbnKgLi5WlCDZuy1qFKLNzY0AckTWOBOT
lr+hwvWrLRAHlfNHTvNb6tYUdlp+whYy7/WWnQsO9MX2Vb26acw/znWnnOjdU/1ztJhraqDIa5Ze
XHxwQ4HP8GO08qgvuLioRvXuVUUd+sWBdJwje9cN201EFwUUpck1QMBQav/nT9iw/ofnUQc+bS4H
FalZ/r9Q5Xy8rp8Eyt8xK8hXUQewtY5xUk8OckMETUiN34dWujt/+dmsodaRmrngJisH6snAC9w6
l7iXe3bdaDYWlHtADWYxyWckVd6rkgWvFXHYQJVkSWJu3Ln+gzIsryvQUczdU//YxTACSLXBltKW
FFHVyarcY97xubTNU14jWlMLT0m62X2w8g8gYO8aoTejpi0XIQ83WgbcXNHr/F/Mncdy5EqbZF9l
bPZoQwABBLCYTWrNJJkUxQ2MRbKgtQgATz8n6+/p/rtH2exmk3ZvKZKZQCDic/fj/JMLrCbHOCbc
Nmksx2lEqXpgkFQTutmS+HCoiHfGgyy3lumA7bWdp2FO+eKRfTCosmaydd8jseWxCuuIh5pEupGg
3Hb86mTvOK+eoIKb2PpCSrwSDEle/Pr30V85oGQBrx3syXsjegUxbRM2fbmXsLuBcq0aw93nyh1p
NMGB1Wbdc9bZe6zqCumG5B03mWtHb63bXeYk/QP6609RJ1+VSQY6YQNi5y11kGramyFSa21soSlC
2HG5ia0ke8j8aXNfbKmKxUhCCrS+uzb0MO6wZNC1Y7NLEJb1ogRIk+wm/RX0S9KAA8jB2iBmNQ6P
OjbfIHyyjDPMZWdmfo1tfb8sXc5nljxEJl/R5idOxOb/fDX+JWX/p/vdlMgYyNSWJEF+X83/abWO
yE3z3tfedgjscR34LSBYAL20zH9xOljSYkNRFawHjqlsEFozPumuvRa2+w4V6/uecFq69DWtdCMP
irkd8betVd1sZZ3nPKsOIEXO+Cfj5Vz+LiP9iyP2U5oOtGrk5aPZdWsoagyXsEByIvUr7/cgjjC9
23/cdf9PrTO3/2V7H50N/97ld46/WFXKP91/LPX7W9T3739q+1NePvOf9j//of/QC/j/SREgDXuU
T/zvq2mOn01BUWH6+c/FNOIff+tfi/+8f3Ecql9cy/Lw7tqS5+c/immU/BeTcZvrmur+Ajbi35pp
hPcv0hG+yULHN6D4W//WTCNoplGW8H1+R/IflF/8jyLE6z+uTN46PpXwp/zX//8vRZ9fy7jo2v/2
X8X/tJpSLqgsBwY8Wz4o9Pc+in+6gN3WMSoMXBgqWmZGxfTgBukf4RWbASlYpe66nfqV7T7bc/YO
JaP5vyznFi0afIX/cAu5tCEKh4XcpenQ+vv7//QdhBE9YO6c9euOIF2IvWnp0Hx2DiSnsDQS7XLs
PLJcaf8xBXa19zwtto1yj2ZJXVM1iHxtJFBG4sT5THJHnZUJHYCExnmMpHWuHHx2qk7ze120s41I
uC8dO6xWEZ19G6X8n1LNHhHATNNl9QLhtP/lJ91bkrjq8f4fsIV4VsYmfc6meogcphuTnFgjMwtO
K5it7llWujlV+XhQktrqOBPLnEQTsc/42xXDO2kGeSnzjoU/Bult19GBKdsKK4Gzj536yQIbswl5
mLsUyp9dsnyzXYi9rYfs+PdFdAVaIRHaoBZ/7HbYDK31DYq+MXmM2L9b5uqZ9NYwCdnchqvKxVrb
e3G3bvrkqXd4YgkNb48jGqXSEKrTOV9WpfOKBVHBf5DhIvAJ/4f5AOt1IMFQhRda/sJ1Jxj6cA45
WR7F0RhKZkK1gDhNUucclJOFL/FizkbWrsin7EQrDqTrA4HurDN4kHXKxtkKYDqHzF3VxQG6vvAy
GIQyh1OUa47sLK7ohe3MuCezdmzgPD+tV9JI5Mq9uB0cHYcMGMrVA3D4pZkEJzrRqRMuFTz1Si8z
B6CJHMWVwmcoi81r6AHNGH0qNUyOrlFFkDQbnaNqCF3eSTd1n4A1qD7sLryYrJqO301PQxWUWMkE
zlLFBptSx09N4DVWLaOARlwRBRhRBRC4ABQAo2YgwJ9kw1A33bmJ7Ud8ERyAIt3ux5Akmq15j82h
2vQosCcZQ9IzB+cYCnwPTSM+Ccg3i0Ta/cqPyBW4NdEp130Taf0a9d6us7LXygYu0w5b+huAgLCd
SUcqGAfvTxQHJ1skuGJTXKUVEbq9arKKI+LAlsA2CU6QAqkJ7s6l3Aal9ckQ4Igj5JOhB216CKDW
Hv4S75IBEIE8yFpQcoGBjDc7zNw3bACYozrsuRi1eyO+ZqZE/2+o1V0DxcZB3rFTyBA38Bljw8JE
z0jowRP3CJuVba2p/2AnvDZlk6ycCqEe98YKfN8dzhCD4EfTIoH/hTABJWRKXnubbG8J2XXCK1ul
4FhmVMdaet+hJAMlKganU0fTVMppI7GQ7+GZ7NVfLN4aD2gkDWuTe8Fvx8b1nhekcj3YRDmHldop
Tw5KLv6PbPZvjB5OhGty28uW7BYy8Jp8wsyT80QSPc02c01YLdGUOA7yG3XxCPun2gc+rO8Qlwqt
4DCVQsAbNhP+hWi9pSEd8Emp+h5j/WJFItmPCVtn7x4zqMPlnIt+M3EJPpAHHx9qq94FCr27mXH+
cIxZgpHFWEBP3uAUmygAC4r03KoSL2qGlh1g4vffEix3TRzLg8cWoirb9tGy7JZed4YFVk7yFBwX
Q3OvrHd9hogeE9nD1dc9VTWHp9i7QGv1NwjqjHeiO2xo7PXGdtPxJN3xNdBiOERO9tVjWMLCABqV
ltF4pUpz2BMdBwSTDj8pSCZS/RjTukEYr2y+kRjT0JmeMiW+XB5iUHnL8mSOFeKGZV+C2N+b+XCe
sPJcm2b80RjqFuzryo1qa2fl8H8SNfXsJj2Tqih4tUGoYrAoFrkfBYziW3nIa+fZrTpchazcnmyn
M9DlpjH8J7xAVYU6FyQE++4ggm0UoTYWbp1tRGzJlR+KXRLT5DgDQ1vegXWRn+8yGZUPvdtjLTcw
luXSqVaxGa4b2WWPc6maS4dLeKHGmg/fYIHqm/RojO7VCAaPyZnxWJOP22Wjj1Sf5s9dY43gFD57
+mzYadfNOcmw/QHND8+o0u3R0sahYvHcRNxqBLs7Iq5F8ujSCL7Lu7za92Hy7Le9OI93UqkF1IEW
VncBAbjgtkUMr5ww3uDUqE6qbquTc39JWPHBroWPVrPRbZBfBmrAl7bpYCrlRGlG01vJ/PDNoxYL
S0L/SloKSiwGg0P+NPA7YBtEfBpUELxYXCooARQeVEb3rKvBeHI0Iq3imFnWLXa7NJd7y9VqSVMO
dG6nKQ/4coO3mDaUAeyk75S/nBHGOa21MdzlSmAJlM3N6T1CwPlHq9sB0LDFzBe8NEk5XQTpZcpB
gk1GRTs2VuGzT6lJaQYnoymJDcVQdI5N4R5zhYZpVsNXMd1BcMNTY+bizdP1M4Tg9wJk1J5aO/WY
+SAURxvoilKbcuRcxwjdX403K0a1dRzUKvJbCk8/HNQwZYRRWsR1w9asUNKgNDVdzqjdISYM4vAl
0vm0GFzpLPpWdpvB6gawY7zgmptiLl+MN90m6ClhCugSXYDIfAu9wr2hssEGBrcy++IGqDYpmWq3
/i8A3SHEqIljX5jepqQ5m4n6FQ2m/6spYAQFDAxzAWnXjK3mLI0fywdrW8cI+jgUDpNV7I1u/haJ
omSycNwdpXyPoWvtCe/lcBvxxeRuS8QYRtSWg1AuvY8h81czY3Zyn/azjdHz6oAaShPQdBEa0puS
mK25KvN80k8Rj+O/0cKeypaC8rvjGDvVLmhhMDtqEscBpYQBp7QI9sOAEZmz1AMNm25EjbrZzd7a
BrSH2Y6mp/6sUiqE+Mnc19E3ELkniOPwICkMJum5l3b5mfr9Uciqv/kK+DiKBcN1EC2Hvy8T9hDf
juOjA3LnXIjBZjaB0Uy2h9FLH9HngvfwfjPVeXic6gwE9VQfg/vL5AfIxcTCCmkS1rcYrLT5Z2Tj
zbJiaq7jSm1T0TkPGLAizuhJfhwjAjD+5FbnuZy+qHQN1o3Hn8+98D7VkDE/jtGttBPecTwh+wA6
px/y8HcVoJ/a9H76QfUAU4uUkiR+mOXT2mmwjE1ZTEgnjiYM1pTpRM09/+r1NHR1Ojv4fGKLPo36
LXFlc11aTbyOEDBWRhNTlGJ4bIkFIOfcq7yH+l5CURXVD3jL9NHiErgQrJ1BI0Hb0QY4P9Owxz2N
DTMFH+WjNYjuGEyJfffR/s4SUo0UBpOgN5jwV3760wdeTUT8NUn7/MU4N9r3SUHCP+3xsi17P2Dp
TKd6MSrneYrm4VTKuWLPWgCXm0ts3cIcIPJWFxpSnFtvQqmoU1W8DOPwVkh2tYkuA3pQmpFZbvpk
5WGEwfBeBuIMId82fUiSmlR62V6olu2Ocdo0WF5sUudmYD81VuBAXuaHQ8FIwCzG7PohEoIaDEgq
uN/a+ZwaVNI5a/ciqk+uktGJXXG9mhlx3Wte0DwxaG1sj8lwbfDAnqPsvXDADNk2bDSTHEzFgxNj
vnOmnoiLwdDUXoTO0Z0866LN98CY9XPcEe8ZyvDBwNqIdUj5r8lcumhTAFkKR/92uLih91nWb26+
VRS75S+h9b6gAe4Eq+gucFEgNuTDQEhtXOUqQ3Vhpdkos6W3okeABW8mV2Wa98ewtoNHzyD5mnq8
R2UAN5mixasR0rthJkN8LCzZMfmp91WVAhc1bnBHzd2IxrH17BFOStTE5063z2bW9NcKEmgmLWdN
ziM8NnZysSmUXPSD2z71pdimwLxp1oK2RV3vuHAGkMxJl/eo3rP5stPfCXZbVoC0PNIu06aFeZDz
D1MIBKhyfvaH4EXX7FzuBmCSIozPXMc3LvGMWVNC/TnCYLujQsL8mJbeWvl6Xko5zmvR2Fg8TayJ
pDLSc5eaR1nKbo9Nap2HHZ82V+86NwkwRDJtjoGpCGtF8HzaDuBcIHLEIJfrTERTe5pS/akEl3yc
gIQoFX7VygguTBKDS5KzjgQKfPtgqT1GGYoMteTUVhC1mOwyORjDdKqtsXkV6Wl26axrajGQK51I
c+KkSeZQvMweR0WtI5MtLrl63ORX37COeabS81ByHBicgH1iFIiNKZhcg17BMVAKvfbK41g7/XoO
rAS97CuQbvMc9jbHwErqdZ0n1YYiH2OJgZ1ybe1G66h1blUTWUReTDDHhEiD3v+yb00PUiihoMKg
axp/H11OirbGh9E6VvUNdw1AFrNqdv4MfEdYQXil/1OvRzB8KzVoF7U8KlfYohXSK498MFrFCmRJ
/Bi0tANYqL9902/q3BZ3Y7lT0spsPqrKvUZlZz9M6GHLIGLDnt/z1G3oQVhyPIGIbPQPrWlHO11k
oDtrmyLYfAy3bMP0c8HMZBHPoz6kuAYWQ6mz7YDdYuIAgcUjODlAJkkoFPN6zJmDTQ5kPZ7HWLdJ
LSrZ2YcOFAvOTyBOeSb1XqlLQDr8yO23LqQuDkDF+AQq7zDIxDwUVfyexxCk6qrf5E4f7k2MKIuA
Mc2qFircuco/oPqVJ7wfnCAzk2ZZrxNvZBHwd8JD1JTbb01ObNtUYZ9iHWkex/itAo95brnMxrCz
XjVQoSlX9TdJ0GcbwmhTzO15mC0iIEP2ToOrsTd0/ToZabMnFALnsu+9g+GlGL5j/yHow3lZsrdb
paH74+e59WPUt2myiakZ6iHgknumT+gjmnx45378q8oz68Bk+wM6aXYQYhD3E6xHPCc19lYnfxgO
gMvCtW8C5EU88ZJLlBHdHbV65JtTe2Q1dk76SU7aelL3/EEmnzhlLiAQuZRCNc5Wml7yZMEC3cyO
PbE76Bb1IEgQ9WEJn7Q8B1Htb73W8o7lTMlaFVOnYVBjQuqamAHbumJrDZzdUjkCSbDMYzOn6QWc
a7xOYzgekWOG95X6c2xHc3cvePCxhx4hUwGl7uofaLZvA9mFx96ence6Qu+0tFjHYDJ2FKwEeyI3
ayTG6lQZ0Q2ktHGm2sDiQ2UFKsT44pZ6W0rVbQcVQ+2HErzSAYCJnH9mo+fquxBtcZ0EPbkNxnAX
lMC2tvL2BcMYRSHjNmWLt0WUFK+hi7XHLg1KZywkbowL+WseFRjJSvNK+zx21pCiNArV7q0SYYEr
k4dMPqpb10fpQTTyISN+duxI1JV9qo6WBWVFcEW7lkJ2H1ruevouKoP7L0uj/BiXMaMpCMPVfcST
mIY4RKJqd+HQdRzERbVLw3mFmecbJb365KsDz7XDrzZKDkmdhBc3y7i72Rht4bGjV3vOstazc3Zb
6zYjZz46sIZGkcpD0JRkfOjx3VLDqghyRBRRpcXvkc0oz6Zh5eOk2EjtRVdiAMZKNvYhi8YDausx
wPe0oAFl0/iFDfAluhAcMxemrmn44jhEZHR8S1tqMKCvUXUzcb/Hfkv9T/fd2ibMd6DXocfJ1uCD
DE3cEW64yayquA1oghhJ5xVFCB8e1d7Ylgjlj0JR9NMPVxyXF0Gr4KKO6zcMGReK7aAu4P7Psrkg
whGvDELrZ1BmLKRhsrVrwpbx6C2HLrePyPL0L9lzvyEN4W6yenghR8d2FT2Wbp+755/REASuCJtT
3dZ/yiYiuF0aD8Jw5QMPTH4Km7NyHFkx9Y4ZBl40lobw/0UyG/CqYqsBuG1sgB6UDUiiUPzT68Zg
31Pd47N11D5TeNkQnefxBNxyY+fWNmur5ygyjXOl9VcciOwlFCQmgXC5OhlBvTX7eEjAMDSyWDuD
QWvHGF6krF4LomBLoTkq5ZW+gNsO96JN3iGc3qSMLrIIvjVZ6UUdhceZN3TbuW0CREqphZXBPwqC
gb2F1fJw9KJoZzTjl5Hq4qHurqy6FU+VfYft0FFQX8FdUc4EsH1jo8ksh3T69AK3WJF7ewJ2/93V
quNTQgz2lXeJ4sI7haP4CfXYrTMhbl2WwSus2UhXPEYQRrzNiIt00SYwu82ICtS8tSjNmUa11LXV
HuuxXA5tw4C6HIpDNXAaBg4FPSmdk3fbDU9gAQlkckFvPJ/GrbEZ/XcjyMNVbSbGwXOsAJ8zo7es
Q8Z0cpx4Jo/MVWmMwUpGcPyVYmtdxIbcMh7hWRZPFxHk8sFEa4MfZ3uPk6OyDYjOCvRlz5m9TL5p
SKAwq0+vLnfzbzqGKY3wceJxwuoaO2SGkh7qoLduwzxRQwGbLS8cA4f7tLZlO2KNAiRNQTcnbokp
0/KWsZfOBy3RrQgHN7u+uuleiqXZZAV/OnlU4oUgdfE8BOk6zdij1z2bFIposC2PWwXVhzIMdzup
vic9GDlnZClYBzNwiQY83n1bFYeHgRLijaP/tB6kjVD73+iR95peYsNkAxHK6g2O0J8wCgnAt7SK
m8HvLO5njLzDO3PdctPqxr/HrvB4FUX8KEYCPElsqU1bD/0m8EpWRw9Ju+PUiAUDBziT1RCw25Ua
K2Rh4H0+3hh+pr7jO8nNBXLjnf81hPvYIshl+mCNGhT8ZdI21wbFfeE7mNTKtMq3YYGI6mpcU+kE
ioWCoh6cmXEQFkTjYkqSXZ7Mz7lwoiNvWkhN4j0w5Lj56e8L+Vyw7mO970QDisnHrRsPWEtc+wO+
mH31zWRT1sI43o1/0ZwePcGsLrJ8Djy6HFbDPQM7Qx7qCXsKaqBoMpyMK4Sbd7dgwqFmQUKNM/SG
AluyDwaRyWhChg5V/5b0zS2Z5qe4yOdtPSCuyMH3NwofhWwNC94fL76v4i2gJL34+2vYhRUifc+j
jzbTLR0u67afaftrpjd0ETzGdvtQh4b9pAn7OfVjM7r2ka1Bhx3P/er4vCkdpJcpmsoD7VmEeiwr
vziUynBetk8J5rC9V4noUCtdHFu/0TuPmNN5Hqnb8kDPXIZOqnXIqvJY1IXEkyjy/eiod3uK9EM5
2fWhDFGf64FVUgCFdMtQPzMkn9ZueKbYwNlOPAgeqnvhyZyaFx31n/7cOZsuUuPGlMPGFsQJfNfN
HlrMwqtxHLJ1C0bxGrJqGU1B6VHQFNwl1UcUNP7VmmISQXnZbFNyddRsgr9b2d3eDJr5lCS5x+GO
ospuIqI/JgC/Qy+bH1IHfQMhRG+tQ9aXzVczV6zIWXimsgI2WgH+vCm9eF+leAZjkVv42gfwhGbd
H30kbEpYeFedMPjRiuyLETLz7THQmz3twXlFxQA/tYMGI9UxzqeU4gaIYWMgvpKxnWCk9Q1T2/S9
kF2+J0bvLdPacx5T7lqrmEBsTvaDXaefuVdc/MLaIuqDlNTxCxo2R7byXvUX3Av7nIWbt5eCavgF
XUkEZOph3vAhNaIZFjOEjsiZ6/Vo0wwOKnleaqoqNpgLQ7xXG9sqPjLDsjdugivKuefT4qbKsJqR
H+oBLQk7+6zw/XMwKLZh6D/PAR5ZT9AclA6Fd2xDluq88V0gCoO8pbZ8hxOiCE7zPDCFfYMysPbv
lYtNkZM1S8LkEPcmmY+wyjgH5FhW+3C8VPi4OGu29SEztbUwWVGGRGe7sOXiD+d7W5UJ+Kahq4Nw
Ld11xZBVexeedemB/A/8wNyYYdzdBkE1w2gCZAyVfQ083e+1trpDbnlfZJvtI2PMRePCU7LD1xC+
+LWYmO1m6iiV017Yc4w3Am4t5pLtzJdEXKufPC+8s1+FwRQBtYmEfUK6P+eKxoSEB8FunjIXH2+U
zm8DrQC3vAiONmSgvMp7Al2y3hhDyQwvwMXgQWxZ2xq4XmgmzcH0icEkBszGhHnxCuKsv5IKZrHm
0YbCYux1mpQbPPbGMbTSnlITAEgEGF79moAfF+Sl1Z5/qupkTzxrfonjYOlldyW0zT0OqFLfPGJZ
1BUtbabMlBPad+9m6W2ipmKTquZt4NarqZ6HdWX0/dMo5S7GQE1DYdaue8dYjnkGi5GU+j4zrRvs
o/joyXKX6pSHDu0yJ3aY1Ou139UozG0rrlWNaNtnwnnzedovWt01jH9i9tiAyhZNBuFGRRTYYWDE
Nc+P3hHtjU1QWonpbpm/Gmza63jVI08Sy4S4ipaSrXVoqEMkN71iCOCZIj6abOdYbJqHGISBm1jj
ZeQatzUwP9/Bg505HYKh314S9gPgbEHxdmV8TrvUPzYBo3OhR4h0pdMcHLP+oAKp3raBph+1VWiq
yDoVNZfMzfWlM+OnsB6MdyWCdX5I4orTcOR2ZC8X3r02ILgDOmQu1Io56KWuW4oTEkLe6dQ727Ax
If9EtOv0LY2GiUMEOtZVtzVGAjF1C+c6M+8Ama7dEDTwtlzR760SIFBNU18ji8sLp/DWZJUAfo/G
ncI4tl24VjRSl58uVcCDzre6gbLGlJ4CMNPQFyaHwFf6977I2hu7YYq3DAdhO/2dzbk8eaicy5Ts
N/x5umIoYi+2nXPNelG9zuMB1gLw/HImksGeOEmBKfFwjyC49/OG3hcyulm+ofcJDu40lyt5r0Gu
HL958vv2K8fimzd290TVr7GgHCzdEqJ4aaOivxSDoMcqsbYBwBOi5pDJvEjUDBNME3ZB3X9YThUc
WXjZnXlpvLVwf06O5R90KNNdSe59FcT2OhvG8Ur0v37I+w8Cl4c+svsj8o44jf2r5jB8ZmeO/MvT
ZluqxNgM9cCcoI0+SiZxm4Cxecz+Zy0leTbFQbmiifE1n2zw1K79apvJQcc0LzHYAp46+UwjG8dd
TUkfb3KgJUtZT9QbFWayUg1aNmUe2WHuUdBzi3w1VL4sc5cRacMFWgPGzC7cKkM8Jl746U/WHlg+
yA584FYhriiWt8HhHGiX8I1JCj4yJ2JkR4tmcd/TBU31bLDy5xNaixYVH91JhISeNElWsrBPyN23
PDGv7XSoczDBTVhNHCiQ/RCZODkTxKoRRWIPw6tU+CSsZq1kGLJP1X+YCZH3Nmmwr2KICKoLD0w5
5ar1kx6sivUeVcN8NDOteCPQFUKLwW4K4zbwc5arcXmbrTtyOA2rQxi7f5x+HIlY1FtSAmfYtskB
NEdcQwpwcbJi3gY2h0EwzdEQoyQ5WWV76t0Z7RN9sR4kldzZt2vYaM8KLL8KsNvPgkFzFX+0fPgc
1iucAHeMoBW9zS6ftzkxWB/0bpwTgU76UNnxV2vbD1gu5SIbEpz2BiPOgu5jFbGcw8xYQhX4kxcz
LNu2WzCG+bH+ckHj4rc09a/ZZpZZu9alcz1gm/1RAliDnI6boIpvE8R8e2S2bcecJYZ5/JCtc7bS
AKNXakEEVLsxoFYEMxugVmd66cOOt7e7z+dIfopRH1O0DJr4llGmiUuCsqb755zJnADM3cKpY45n
oqpZYrO9qPMafFRic0AwINMNd/TDo3knXkU8pdJALj34B9sCJWsK3WvtO7t8Ngls2YqtGB3p3KAH
4DGL0WFOGpjfZhxay3QkoVeV01ZUw3vKjqIlzbqIfNCfnivPog++lUmgLZR5uXCBWkRwqs4QqKqh
YcPYcDAEOMAQP1fOZsLZuxQEn50Opwamhwz5eekMECeGIthYbQLR1wzJjaQVCpSsO/B6lJ4F7LI3
rcn+f+EU9CzTBzNuISBzYgYaeodUsJgwuOsdH/wEGW42d/XKl5QEB3LKHi2DQcPdKb40fZ1utGk+
uFHSn3PHxXpHFmjFBiXdDBzQjxVgRU5JvfgFPz2uvLNTuep3Cce35S1Hdhsu3ZzfcICId7KVmzmp
uk3qA89PQBwt6NgamOgVO/zm+yEv1EPmpiZgA8LC2ksnxvJdf+x+e9NUbsCrEb2rYZBY8k8eZh3m
ecV2qLmMrKCnyTOytRSEeeALqr3daXKopEhFMA+b2jbTUxeTS+vtBIivFz2wW0k/CsHUMM6qlR77
HNQ6ZOpsug5lKWF8lqSegK6sdFhSnxkYATdV/pXVlXNhgr5TVHOt+cbtTVw26DS+T6iMLYgdcbZ0
i4JxnhyTSwkLzhs8F0oYZVsof+pY31/GWi3wWu+NIakPbQ2IcAwUbRSgc+lmxUg7Ry1XGLaMBkHU
06F1FOmd8TOx5PgmboO08rsz3tFLZNg95lySDVkzJceYLmmsoFxi6CrdT5ieVJpV3xJA531io5/6
oiBPojx7bzctCz7+G+wzb0p4+dE05/zYpXa7b1P7Wk++Oupg+GWCP4fc5Rmri1YtJDCGaecxm8t1
cY4oX9onxUSVoVTnyK/nTanbP1z2W5cHWtbem9fdpiRWYD86kvYoUEc/7ECXgTuSe83Kee0xeUml
zlesSdNHJT8ts/sxiinj0amJvkUT82VTvGKLpu+3NedjbREGKoqqehwt2rKyhg3TLMN5Y8e0wDCV
3hJuy9/BiT4BEviVtaZXL3iwPQSoH89AYlfa9H5GnWRviaAvMHarj/LOhpgjcGZ23hDdNvr2kPt3
u0mUvBSpn5zSKU9PbOxf6Buyl+GcBBd7ElSYI0WeYqNwd+FEmfKUwmUIctPZkhc+Am9jA2qQx4qr
8oD5Ll5CEOB5nIX9CStVuU3BS7BlsmjzZPrpcMkuuzKN10Ve+ee/L/S9+GeDyt9zXq/wElXHwsAg
h+i66IzvITHbJ0bb7nOlXNrMgiWSCQWdnTSf3O4qawoMwR20u9S/2bDd2EqN+UXj2UGK7xk81MZx
9KsHsFPz3rYAtyQGLZMNXbgA1YdzoApg5BM6edHU3kZLqfinInZ9d7WenHGzR/N9Q48sd2FYgbEA
xkHGaro6Vu3tVapejbCkitm/j2OC+mLkkAsguzyEzfBKEw4dH5kDYVKZ/npIG9q5+yFHoV90PRp6
lqQt5oLxdwU9E1+SUR3Dqmb1If+V3vVtf+weKzAPH5lyKAiZKI9RI0vG34KjJP0eu2mfO7VcV2Vk
ArUznWWKFkIuyeVpnmlqw9qiv5ZKLOu6sFd1lICInTLvYjEX7LHznFunXBEMkMjHWCgJhEumN2UA
iSwu977VE6Mv0C7NUWEP7ytjp6HV5JURHv2ijI5RK2xGv1zhvUv5xHTiTBy9UMTyjSmHVNsoX5PS
oX2cNhCcldHwWEwaKGcyHGHup3bkXZOpLx8HDeuRnMuMOJiUj8YcT4xc752D4R6VtHvNvTm6iq57
wwvG1k7C1xklDIphaj7Q3vMNnxFoGdAq8C8JbqdF/tyPAeN2akH2pvCxNqCGXmaHUvpK/0xxV/9W
sj8myST3ctDdlo6di49qyQOl6XdCMpNoNESUqT1rz3XW0wC41eYhts59XOUkivS+svQKJCtZ+cAT
O542Oxd5ATwxL8WMGQwZxt0yZUfVVwUkSiFAsMPZqnCY7CbXXes2ztl/MNQT7ntg6ujSe/ZPOdU8
D/3sLaN3+dxn8kCI2cbzZR7aDhNb4/keK0HZoI2OamtUUPXzFqMbyRvoaoX6Ba3W51Zkp6kqfJGm
nG9kWoPFEHQ/Lu5WiuDCfCeoZ2VLmwKkgQIF3hhPVt7NV9eeCAZmPR7TDiCasc/n/tULqDehvxCr
Y4SLXkv2i7pz36fJvDCwBldFdKsOO8Y6AbV4Tuj/dr2CQYJOFhP2O62fktjkKcztsLInhGNMupv7
CMlfUWgtlhHpnrKATTIExj40S3wdJHairL4UiXWnMyN1a8/5bTKzXOVl9xpY5tUpiA7DiFqOsn51
je5qeDAKDGXs+TvQ3BnzxE39Ek3m1W9q3o6550e7z/knc17P1HQlfpo8gQVbCqu7GcwFASmBeATV
PmIEmJxtV6fDEqvhJpiaV6xrYtmX/529M2mOG8m29F959vaQAXDH4Iu3iXkOzqS4gZGSEvM849f3
B5W6WklVpToXvWizygUzUzKSEQjA3e+953xHIUCtaHAE8dWhE7kl7Qth5coyG++exl1zJa/yMBUw
zzP/eQrwlCbjbsjlG32L+xGmGioDU6AFhp1iangAMotrjyHz5vsLBO1bcZBw1KKQN5wE3sssfBK+
DyhjuHjdsPIN9bkLWDiN3pzuy8R7TiWSAka1zJ88IOWMU+ZPUmWMWlA2QYfKMNUZKrtqyU3BrkHG
BxttUQAUpMDdJEXtnOtiopUag4W2RYMBuo3vI5s7Sncpd/VS3dLlO0xOayMuwwmvTWDU4569a9SY
h8wfZE4o2sKJiUkFLz+qyroYs85kzPtwK7sc1j1HLQdKOz1Xr2B4ilZcaWjkfLjXNUkDblgb9ABe
iaZ0dsj7VmEM7ReO05fRABhRpo88UocMkiUVIYe+JqSqrvN8JUiAXHi4mKivONkEXIA4Ve9BgUY0
wNWygP4OYrgalpXEMChT7jhGt2T9UJeiqArddVnFIKXKe15tv8M6s4sGNd0Oo3j36irfQ9LZIy6F
jqB7zZIW9QDlwGsutMIt5rVQAFEqayek4HJphEw6nBb6TdIGikZ+u3Kz6nkKORMaPnT5YtyiT7rT
Ik5SbTKS5uQ5I+eMYTyXSTWs9SgiF48O5ckc4T9lbLlwxR006IaVnGJJnJRL5tCqirhTip6YIcfL
y6OfI9ExGZqx30wrjVuGbDO4kHD05pYLi4LDyksSHOca29kJmYpDOsvwwpSRCYtVVgYYpN044uMC
qiXSmJD2pr2101Bt6yGlqdiJEmREEOxlHk2LFhkhhOQ5wANhcJl70fX7l8HN42tDcFOYNt7sOPza
FgVq5z4NNnnSlJeOgf9BArXInNKli4mtufAqd+vO4ZQqPpHyo53srnpQpuXuc+yDB6iG94kePeVN
jTawtDUUelyDgbliBsXyVupfAr0hjaViJtgSRD8wWb6lMf8UBl179utia+mwndMA73EabXQ4W3SR
U0Uwmz55FihZIp19suRXCaf6CnaEHkEOKquN+K7zHIHZu/WTU3Q9EUKUui049kc/dW48JSAB+M1E
0UXCo5tY/RFREXHJQPyJdLaHM8cQJHE6xAgtNR6bzvFJBWfQSZcCEEumboLem06TEVjLpGSVSYkd
dURTHz0Hp1fgl2RcET0dkxACjFSYizAuoBVis9yJNn1lsn0DE2MHmd3/avaUXS5pKVBBQ5LrMqOn
rrf/yDzUwZFTPgJu5XdVdrgu6hbwae5NGwZNzY4eVrFngIaSqeHixQYpZYQ1Mil1wE9pnWbu2U0O
Nj3JJei4jWmRnFY5wAQd0gTCCbtgp5FgG7HNGQ1u91oPAO1K9lTfBdBWxdue/OkNGskGOdtUXTov
K5CqkDvUOdOtF7sCnEvtH/sm1sCiV/pag0axU4i4llNNXoalpn3DDJ3YwbiBSlOX7YkH8SQ7YawI
EKv24F4Z6FQ0HlxgjSsHHf2WDjoBjgGSfGPKYaKHaQ6yePSBO9LtTKumOXQGOUmDj9gHamAGsBbm
yEAje13RUQE32W70oR92NHMRaRTRdQisEdsdMpMMZzduiTq888CwbGehPBbdBrIaUohy/vL9v9za
Vfsi39DMqJE/U93xJXOAV5q0U/z0G7VziSpGjIfW0asLE0OcLVLf5eA+cKPaRGMyijoID9g7oIPB
7ezD0HMoKUa4w+RJtKem1Z9i9AuLyEj9tSjJUJo0BrBGnLqozJ7SBtp3HJPIlLQkH8u6JxgUMTCJ
1JG4wSd2O+qkKGI1aVbeYL3njvfFihCx5lHR0TcbV/qQow2hA72w3QaqvxrfWuqJKrXjU6JFKdCp
rAZK4vSrNDXe+3h8xSaon11klg50r8yAcKl66KL2KGC+9cGcyIO1lZ1ol4dlzCAdW39BmunZlVN4
nm56K5UPcKPj9RDCsBh6/SaKFeeiENsRYOkBAiOQa2Cadpau26oodpZLgEtIi/VYt+ELj36HcQay
DV/yWmiH7/+Ly+TMOcc/WB2aTK9Eax5HcG0DrwuXQLSGldtEpCC6nWMevlvA/uOWexiLb//z329f
UwKbwxpn7ZfmT743R+FG+wu33OkN7sXb1/7bt+JffN8Pv5z4BH8AKxhOMIlL4Ce/nPHJETaGOdMx
lGPaP/vlzE8SH6arFKkSmMlcTGZ1zgb1P//tfjJtA7scHnaDloBj/R27nPmLXU4yDONX8CLs2aD3
wS4XtpYxRCXWqBbcyyZ0whp5Mo0KOTk0bznJa56mQcqvo6XFGHyFRo4wHtB4yzKV2DscDoRTkU+r
AA3iqYaZs4+lOhpmNTMR+XOFBpfOW66vfrrQ/8LoJ3+x2UlbOg5CPFdK6eIs/LPRj2SgQLd04LuE
7JKRl9zm/VvNXIqy2nnWyHZZ0vR115lOmRzhcljmpW4vkxFBI56wkkwlcrANGRwdB4EnZpuDjlDv
SpDbfH5qt14JE8YuOBJh/vfv3SmeM0g3PtoN9FF5+3kGsS5o546d9ei4TrZuhHXWNLxARsFMNWRU
z7C4Ck8W2MypH/Hpk+NtN/Ztg3HiYPqaf/rra2LOn9afrIeoi6WB+1AXjsMn+sFKPmhRVpDIoGHt
xmmDNCUgJtS/Mr/vV7B6yFbQDpgOwsdRueI6W9IyYjEaBR6dsS5HBF3d+9L7LAMieacg1zcNoQMX
0oZARtf5oev7bGN1CGUl59i6XBe4eV4qN6NGCZMnGbbjUQI+/Ou39aunE3yEkhRbuu2atmPhYP3Z
09k5CjmZ1QdMwB+KnmF2MBI53aPS3E9WkxyZB9G01J2jMSXFCbO3t8hHRIm/eRm/EEWkYxjCFA43
m+m6+gdvtOXacd/oFoE+lv9F5DkPjUpHAtjRoBFR4VvhUzz01j7AEoUd5KEL6KPUbXLO54SHv34x
4uOLcUiZZN5v64AsbMdx5wf7J5ep41n2FBG7xoPXns0qE499fiGkET2vHYrzoDjyNT2nj7IfyVMl
rbb7Og21d0UC0S+tenRQhwbjchASJULel1vGXT3bOyFGbqE/BUHVg4p0Pk9aruGgRMIoXSyRfUJu
VzPV1wQahkRkWYWReLRGwt0ykivGiACuv/9WFSWhckFo8M9HBsWoEeYXD5RsQUWcix0EzbWd5e89
JqGqIMe8cd4LvJrbxDbfJf2TXlzQQWc01pPDWOjqhGwdi1ZGmEBixP4hqpp6VaouXQk24btYjiBh
WxKXfAbibLmMTVHLR/siYsjr53TU40o/lAErn5MCIiP5faDSAGWh5/d//WbNX8A9tqPbPL26Kw1H
iu/L3k+fa1chFIH/olYFrK4Tp7xqOTEoJwTPQeCqjSzI9Ya696HzbgGvv5pehPhLS8XSaKZwD2rK
2dhJ+jV1+nhJjpO5tOwuXVRt+WpWxHb99cs12A7/tOKQ1Gw4lgTbqQy+yg+3YRpOpVv5iY+Ah+eT
dp5xam6MAnHQpE8kzRAAurVhrl049uDyFCPg/6A7teQvnDO2mxvRRxatYG01pU2zI0yvBTz7G6rB
LwvI/CpdCdPAYv81rI+7XFsOXWAKijCb0ewqL+W7M1kkKpEodYU6tq2Fc9Cr/OQlBbLrijvbQov/
9x9Zx8W4ZeqOzc5t2h/2Wk3qnoN8y1lZWuMeR6ERk1sU02oQ7gjrr7FWUOD6k5lW7Sq2ImRlo0dn
huCH0Rz1pwIDoYXd2WMO/4K/65m5SWl2GNe0+g0DK87mXhG8iXDjFXHmHgptvwWaBlLDS1Yg7+pn
mcNyyL1HxsnlZ0xJ9KK8OTfN0ZLfbM/GvP3+vBVxyV3bdYHic0zRLfvD9twMGCCSygaSH/V/4Lto
tklLjeXlmEFFOhmLJnKMQ9fcG2Wu32VTX++a0TfWRQrrk7SLpTmPZv/6bjV/eVEOuGRHQrUxBX5S
fb6bf3q4eiPMlQMrmMvLeCxdf183Ky09TwZ5PxEtzpU/lN4aCaW8w2xxT+bxOtBOgBG9o479AGMT
CctJXSMy78QzwWn7qWGQZDrDiZUW312XMs1puvZuEuVvXr5hfrymLmADdsJ5fQCo9PE2Jo1a1FR0
AC07cGdS6dqxVWDNFIrEqATVaqYaQJxSp9Y23WEXNDUUONjkZqZN699cy48nR+ZTHDBgPSiD4wa2
1j9fy0p6Vj4i61llSm92wD9GP+tPhGrsLOX1R4WO75pGpr1jboniQEkmSHmmFqGs4a5R1jwZNCh3
oR6sGA4RrUce8LmntyZjI9wxqyIKg+3l+6v+TyXzm0rGtMW8KP577sdN+7X9EnyrqvHnQubHt/2j
kHHNT6aCCaNLPLeOkIKn5wf4w/rEFqA7WE7xf/zjb7K8mqsVw/7kSIAPiiKG6tac97MfhYyhf3JN
FxAXaCnTsYQy/k4l88vRl4cCmbfusAlx+nU/3I5WoUa9LVrocq712SMop3ZJDPIJv14mfYe4tSSP
j7QYHFLiy09X6l+UIjMD6+elzv7wqz8sdTTvnTjWOQ0rSY3gB9CxCZLbFbH3Tpv1d2C7GZXyp183
byCGoG2G1lVK0/ywiEVeF9mNzMYNzSsslQWZNIaPyNJUn0PHP1cJoYqDa4JUrIsX3Wd708me00Se
rXg6mRkyG8xr5CNxoVsrvHEvBgKCUHspg6uc/Cfmt2eXmWvjnK1oWAosUwstQKuTP0GLO4lJuyn7
BiEDXqQ8OhoQ7363tui/nIKgxxquy1rNDcVd92GrNKu0drCeyzWu00lGijFjasLFj9sbiZBvkTfE
SviT/1ga9Ga0BtpGX6A2BTMARKp4gbNR7XvtIhJNgxjhk2fnWVcTjf4q7Nv3BKklQKdNELx6fGvQ
HZDmo2g0o3dNZqdAyC2AjHdbEGWQRd5DU84p782+n1WiZsqYKHLxqdJG3llMHA64Zzq8uWiZ3bHc
88cpc2hyqobcPYyEvj3Us3gKQTUQrT9yNtsR24QWwRIZUYsG4drDYECm7lZa5LqKcauRRVvHYF45
VJFuuIJZhzleEZmKw+WGQ8zSoo0lTVTxpb7NffNq1TtZfq2NkzlQ+mnD4rUjkPpo+PWOuSYzBd/S
d2qivx41FHKE7ewNvJZhOuBSARRtBna2rSHykbfFVaJR/SQrQ2wB8u57tzSvKENua9k9MQYlzssK
7sYgI2gxNr6a3eQy+CI1r4+rXdb18T0uvq0kY4mnItm32PoX+UzIBTLzyiW0MXcVhLhk5TJoISJX
31I4oKu4gSs7VghlEWkl68GCAyIfdYfIyApbCPM+bwsvSh2Qc8CcLpBCufgLFqCyhsvccPQZ10Ek
8WgPK4KkAtSgfRpicp6IidUlHnEswCdU3/kVGUShk09UMLs8xF4V7YH2vg4InsiH9eH8KjM9F428
bSsrX9cVsT0qvjhd6SFyPtphiIUZUc+aYstfdYY5Hpt+vNdd2AJWG0LGsaCDGV1cIAyBVdzyMnUb
l2jHNZs1/JjUXQDIdaptwhDnxcwgRmeIUWCce7HWS5mD1DdLo1scYNLcEih3rU0q4Az/7AhwJ/C2
iUjplAeHoJG7xE9XDSof8kc3jH6JoBfTNk0eAXqQbRV5IfNwL1olaV2SXWOuhzZ/wCaX/aYDIeca
+Oe10LV0jle2AK5IR8sxP9TIys+NsmhGg9k0zpHMp0ldJzNZY/7Pf3zRUBHHRvvq6GTXZR2pgcQ1
XDLXp+85zGtTDE5BDK9haA6nfrDMtQ3ree+ESIvRTOIMzDR1YDCIni1vj1wwsXMd8TjA5Z3o0B/p
pkfLQiSko3fTG+xu65yYyamInkLzs1FbgLItr14Gtvs1B3dw7GIE06GD2ZL2fItrHHhB0KPG9zOn
3sjcu/7nEJIxvRx/ewhROtvyXx1CCP94//MB5Pu3/Oik2p/AizlsBxxm5nMGO+OPA4j4xGYBERgZ
H8xK3DP/JI8J85NlmI50qQBpnNJp/ecBxFQcW+iV8Z0W7RRbN//OAcT5hXTKAcjmZZn0bIFwWfLD
xuz7PpP1zATgUtI7QwHsxjvfFd6NX3nMXdzRXoMaCG4y0oYO5Ma3R6I1xBm4JKM7MUGetTo9e6iC
AWlVZVnegT5ltMKsS+6NzyOcpoO2c1tBJkURz6guFJE0CLQb2yEnSdlV8N4kNUEQbqKtuoyAAfod
fbTlEYwOtVvkNwEpmxevlGGPdqut34MwFDujC93NVGXm1QfFhHStVq+FLf2nidg5ME1tAC2JypbZ
nVQbvMbFdZKEwI8KRzAmIL/6ivovXbtyCMJFPAbNITLGeV5TRg99mrXrPLAG4rDqeROgBykPST9M
wGTIO8NX06IQy8VnL+lD9gmgBfsxCfJHE7ndhRBZgKfkt3TEnhGdC04xrF5Cu5e3eVfP4SNDgjTS
yC4WLxMURGG8kDteoGluw3VeROOdwJKBt0eHyqJCsjDiAijTgHV5xfhRfmHJigCSmObCqyH+CNZ6
QJN04FlnfeteduSKGIi3VkCjimXd2uWLzdAMTNJYfLEn7w+nbOUb/p9X+uMptfrU4nIpUobEszz5
JnJ69QKUqDj1PcgzPffHc4vb6atrEs5jchs81VYfrkfEWdfSKLWbbCqAzOhSWV8Kqy3ZSGNEz2NJ
T7aJrWFbx96cgiL9Mzpub1OUurXHasiWFmSVt/dMewADZdSnqm7MZeXK8GJGbbEOsWXD3qk0sr+1
IkPrYKTpjW+Tmxp4tJ0WpSyn5x4QFArZvHzWWn08T03JkLCr41PpGWgnm0bn1jbK4VKivUQsh+N4
VzSdxDRfT/USHpTaVAYR1H0scsQxgpmqbOyt05oMdtEFbGr2+AcVa90GwHLyZgc4zuw6xFJgMaul
e66ceyDbCINLaK25tEqsxC7WxJij8U7vNX6YapI7Unymq1FI9GJ9VkHFRCicz1sjLWvLpUFdhDrx
oZ7pPBRaXW2tJFdb2yCyY/ARfTaRXr3F4TB2CyOc3FutHAKM5nj3uC9QOXeZfTMx490VWiV5S6l3
LMJoPsoEsdiUTh6vCj9yF2lSNTxtWnQgTBFptVnGPJ8e3m0SEBlClDnor1Cqu4iz5hznbM4a+RQ7
aGYc9Yh9McVvs/MQMGHgIWjmDLvaQ/mDV0UDnkbmqqPuIWiCnEtBw6DMHgHb59OGuyhbA3Wh0Im6
TiJn750YSpBNyn04228nd8hOZhfY2LN6dZ6TaLetHce3BpzzFVzyYBMaPrGKhUXno+Lip8UQbHuH
Yhz2TquwgSQugeqT7A9FinAzlY65aRSSZhYtjJxx7j0LMh9wLgpni3e6O+hYvA5Z0rs7MnpKvMtm
yOw97IMbnh0gemHg0J/XJy5Gz8mwALVGVibyxqRY+/ZEnJCq3eDNS0Wyo/NPpCRTafeayLrlNDoW
h9hO8j3eK3Htda+DW9eFGW2v0fIXSDCjl8pH3UiuCQoMFjk01nNSmpdW8dnMOu6dZrQwVBu0TXlU
/qgm9GRq7J1LlzTdtRMlovcyi+g+NVlhky4E4L+amh9hpBxH3dNcnGxjHqdDSMAnSO/YvLeMaKKd
Jsp1m07dt6nP9XjR9cZ4oruIsglXwlsSicBeoNEP78Y6aEkhaYDDxU7ULNuCExJaaGXdNU0NcSGL
x0VJZIJu4F/JamoGFF8nPODaMhjq4FRpWDqGPJb7fODAao6K8UNRyc8dsAOxdOYuyli2EPWMjiHQ
ghqleBkmMHIeB9AdpXJ1k2sIlDGTJNGipnxHclaDIZvQMrZ9NF0AUDVb0xraS+6OzrOeMgxcq6DD
CRfmGQHZ1If0xjTGat5c9TqEiMa3gnyyU+F+y7D6cmZ3/UdNuvg5h5gYCM8yjyipMOF1fdjYq7Do
uICBNub30aS7TPvz9j7VQXQDXB7KCUFENz3ooHgCxHxZIDniJchOyqzPSeQJy9sYOfepGEDok8pN
DFw490qpCqNVyXRqm8P9WLemW651nrrV5CZ4Env4MHnZZIjDDIkYuYq/Bm2RipOX+eTHcerOjhV3
ws7xEJUtBF7inacDHgPmN1L9haXsDqxLiGzrOCfLkViYRPFntTf4AOvislyV0mdJzXrbeVd1YZ4C
R6f5ysaJY5uVMV2nA9FDmWboaysbAoSFaDgL3y83YRJBShRmfu26ONgQ4EvX3B9r/9UwIqoRBVDp
UsigODRBa+CUJ/vCm0z/XTiRexonRASLppsJTkJle8MILwLHvI6gGewbw8Gw68WuxAZ321fueK9E
0G8ZRmg3rRv4mwFj7bHt9GZZJi0kO8Z+ceOk21bVgLQTy3wRGvHiYzbWR25GD72P7VzSAX4Xc4vm
EQ1+9sQHUR6gYORH02m/Mhk3KG0ZXMhJD46CNLE70j8Vupe6o5qU5MCHKFROpiXpDAtbYqUbXbd+
rUyreUlkiCXd5jDE/WOWb46MaMVaY9gu80Ej+Uwp3ObD5K3NxBU3/YgU3mS3mtCdmOCFG9vbGwr5
c5N59tHzteKGFi51UpO1z0XQlESNutVnr6oAz4/C8/BVwnUGEgSWPxy1LVGJCP99hT8qKZFcZGNQ
3uo+4JWBU8W5YEu/dfS0P+dk1e/Hovc3nJzEl4lPEqvYYF68xnKXmW4QUeal5b1O6xS7kVfGdzlz
vFXi+94ZPC5I5UnLoE6mDrI2o/P1u1Rv3Q3sJMx5DVY9WtMxq6dfl09sjOqZ04Z/W045ObiAGemw
zpyiuoi2rYAQMjKsfk9hct1akLzutMaZUEGlatm0wJw8A9BjbHggbMoouc/7wTz0rkvAoZfJ7LHg
qLX2EcAs6xpvAxO125p4C9Kq9F0SKf+hDTy5Ixyvvzii85a28iw+4N56QHjvrLHPknehB2hvPIlm
KEvGcFMMwtsYWmy8M7IKGA+l4q6f7Ho91WZx2xRF/6gsr0EY2DdnMj0QsPluu1bAIhj6uvk1G+oO
x2TYv2UONnKCeYRE/BNW7b2OwPAuaNl/GckmHpZ3bHi5zwwwEYbLak5X7QQGMP6jhI2xmXoj2nZR
3a5mF23IZ65bG2WGih0Vz03AIo78zOfEWkc5MMvJb19VOOnrSNjDjhEAFEIQ58+aU3Uv6Cw9vDCF
8E8dnKJFn1lwzUWpYR8WVaBekEh4d2TCsHg0SWuieCvqAD+NP4RHNLH2Y+p0mIljfVhJwyUmMzGn
F9B9s96u4m88YqffpVfXoFDUcFaFQn8/ucZx1mlSqI7Dtmwd8eybiUYepmewN+dReeFHEOHnCcXq
3OvFDkQrVrWm0v1DOLRGvyg5nyebXE39k+UpJAvod8t+SbOApPBEGyo2sbAaLk7euadJBNG9QM36
pfKyCS8k+g8k20EJij3nYPh5kBYEyH0lOxfyekNuhsyIYs/TOLuEZgA+dPRxs/ZB4a8ibZh26A8M
QoDo4AAt0xQMFyImIS3yy2VmtwS+2Xi6lN0odIfgHmJQk1vSJJqtU/j2XUV+zQEKmwH7gB5orfcZ
kAkxfOM+JFO+yI3qDYuJ8y6aqXjiDaujR8gdkBKvB7MO8neJNcbD3q75u64N03sLlUa6sO2QsY5i
bn/lRDasmahqBz0Q6TZThN4aWslmLq3q1NdGSYsviu90BwEyYAgrfgIA4T/ooeXvLC3ogbywIGGF
ZvmvJRboItfrY24Y9plAqPY1yhkE4hKVgEeMCM6EXbvIzbr4wPkdnC/lIpyBmToc5LV9q/zKfsrL
DFVOFAS3/09aE/8/Ec91aPrOnI/z7/sOq29JEP7cdjD++U0/Og/OJyGYZDJ9s3Ux//ufnQf7kzsP
vhWNBVPM84x/dh5Ml6YEI2eFmtyQuj33wn6MPvirWQqmELTQyuAn/q3OA/3/D1033SU6YtZI0Hiz
pHI/6H5CkmFTXh99AYw6qpvym0i99XpIKtXkFWc5PKZWdV+XtPEnA7RZFHaCiHUFy1NgjRdD/0Dr
DWdhiQKXMqCB0dTSkwscAGMeSFREBjejRNpk9W39CGXtW1849aMRkqmLgignjfmmjqw1/kEO01p7
ZyJIPAUMYAxore1wi+zbQ/RJfkLDSa1IshMybvilwvT2lQ9jysmvJJ+NyJzZGZGSRmWnriT94WAv
OZu7sl3X6NIq0Ny8BBtdGdZmDcdqGQF2zySgn6623lHUAz+gbUwPcnqvzSOBf6vSqJ8JTim3ttTE
Gl7UBqQrB5vF6OGzZyDfBvVnkyHnibnXDMpas9yuifTujpnINq7bPvsRKliW77moL8e1vgwt2NmB
WX3JlLn1A9WubICeCMTzq5t+jmz7BRMSogzci4u9CD04WzaqTWw1mOVPOpJxANoV7yAQmyQfXpz4
oetGImfIJB1s/810+mDPZjYu4V4P5bvME7hqGitqWrntoZsc0soCRj1oYdN1lKoFiDSO8T16GLZV
+BgeLIG43JpIk+FEkRyhBeKoIAelFib/rupRcbVhcIwn297ULhJh0RDD2d83wXQUVqWuro2U1wiB
muLTcylivaVR+i2sLEz8EbvY1tBHsXEF0OZcxM3Wo6e0gLJrL1MN9UqkD+3JAFrg1dq0xfDqUv4O
hE42oD80O9HXfUiOFC8CC6bv0ydLn1g2H2wJWTDyZc3A7qp8/ZuPHeAcuL1+NoMsWirG7k46ga4L
poMpKhuVDznFLQqSDSrq59kZUcT+rUoi71n1fBroCYICqkZJyiKfSHUYpwFjWWVGC56sGq1t1u0o
O3aSwufYTka2Q0dxZubVEL7IjKLy4PiWbnsncLbeQFx/bPqAID7fSrZFWJowYVo4Pr1cjYjTjoPX
JXsv8W6jAg3dOFbnwTbi/8hyv/3f9JHRHdispf9+PX94S8Pkvy5vX9ufF/Uf3/ZjmK1/EpZgTmwq
Cwvaz8Ns+xM9YaBWNvoQhtMIbP/rfw+zxSdEFaRYzLFqDrFm/2eY7X6i+8ukkoksolTBwv53esnG
x5EyIQEm4l+wpfw6U/8u2/1JqFKVwm3twa7WIWCRnPUPn+hOOOVN7KZLaWlr8sYOBhGj2E2PRaBZ
Cw+8AApXFnrwb2I45kGx/eka/osxN1UZ7+/P0x1ElKBOTS6XMHizH4SYA8Vq1JMCvK5NwDZAnAk+
gC2/qAZ46VQOtK+cW7q8tyUHyS4kCnt0W4JibaAKwCJQFoJtKy2aZoXb5HsPnNhkjCREJtlWqpyw
grg9yDFK924KF1o3j5psnFMN/oDHVk/2WZjdsHJPFMU+66X3OSwmfpNFv1TrNVT+LJhr6eTvgpge
zudMkGuv2aLlC6tanemBOFj4CZ9iKyFUy7socD2DIeybXKrsZEfGa1lOaieTHgI13aYVqQElOeDN
ZHON6VCf66z5XDk0u3DddXDkxzu9CCnO+gx6gK3y7QjH5SEjf3shw7ojxxfvudLC6c5BX0yOgXZV
9QF6Om0vl/ArFS5jHRhPE+Cv7Uz6zLaRbJTVxzTj6lmj1lw65Y2XuHqKdbBBhu87D7WasDxlfXFs
NN68XdXrEPfCMpy9y0KvbqhuarqEzbSB5WRP+qEH+uf6+14E2t7JDm6uvxajOlqwkjd+aBI2ZSXW
oZmRok5Sn5QHljQAdBy1a+KR1SLqtYwEd/Opg8e/dYmGWvXywcfPWephgkW7m2B1rIjMPZGszpg8
dLR1abxhqTa2hlsdyJddRKJ/r3tYpKGIX3UztW+KJjtr9jcjTNVWuvLVsylVai1DGxegybZjECxf
ZW2e6tB9H8wauGLbzAVsC16371dta9EGwD6DCRSMB1xDyArxjQFKj5ZMuLBspFlg96c88je6xGyi
rrT3+TG0DpZxzh49FD60TUk2WdJUX6fKGR9dmvbr4hRnYfyYpxF3YChfsZfgpJ/TSYcEMrwzDdG9
X+afGQTkb2KAVg+j0m3VbcIHukl6PdkCvXyiMHAuU2IGmE1CmKHT3JNsXHcr+gZvW0x8qsC1v40k
MmbiNBsyBlEbEGh9LTL1iKM82jZGh9CqJCJ5Ro9vwkwUkEkH+hiQZCjxCObqu2PbhtpRpKwEDHPq
LehhmiN18q61N7wB/1gypuEYgmqsbkGudz7jFHvMtoMYl8kMFXeBVay+31DNRP5wHnNyId8jk9Wt
GwfRRtYjvn1yO48h/ffSi3dlqeQ58M3yahcgiOP6H3/FwlpvSwi6gL2CYh/YHIlIXs4McWhRrEBa
Cfoj9hsa78NF83VCV2TwxOQVjeOgcFva9mydcaAjCczJmdcjsBY5NiOiAdAr+N+IsYjIWRdXOYjy
ECQzbKYd6cUWHEGiVusPjq0ulfsH/UpvPZFHQlPXuUi9PWOHhb5qg9lAjMkr1KqXFITnxpnEYxaw
OjDfqcg/Bs2DpXtAR8ODGhkAIsrovhRErBjdmK+ioL2dAGLcErttL3QRPYMTyx4DI+2BPlkk6qb+
gZgh8h8Z+10ajf5wHdn7ePYCON5KdKreB35Xr4suEED9sP+MhVp0g51vxOgVMLS8o50cbPg8SwJo
Q5aRgMdtSP5wg7jfpN6LihPz6OjPKPBxEKsvZR+7SzrpxCo3FdJ0j4xXLexuQoBeidlQ2Bp6xgm3
aOlBUluWMNb9aXqepOI46csrjZRpU4cRVBzpZouprV3gEeNxrOCmDI5xChsJaxy8Dakh4oaXtgYK
Tcs+TtS2CVOsTb5/qRUxYSYQ4KXZatXaFwXWL3ODh/u+wPS393t4oxYdZHe8AgNg2JUX0xb+66LV
Bvs06tCnYaFSdAPK7oxmPTl8iVz06QFY+zEtHkv/VlQzTtHEcQUBwtUZb8bJodWTOwNoNszoivQ3
S/8co56nBQT7qLBy6xy044vttxo9/QvzSDRDcfS/2DuvJbmVLMv+Stu8o8yhgbGeeYgIhFapk3yB
JRW0dOivn+Wcsm4W69rlD/QLLWlXREYEAHc/Z5+1KC44fUbRTs6P6EvaddsxM1grHXTzmo74m51k
erW7blqPEtzPz0VPhjR50a2QMVnAntpLstJTlIjGWEuGB1t9Q3Rk0xH22DZ2t8NO8aBBGVh0jDo4
MBqVV4iX8Ysp460D5xCcpb/2dIrKjWhuVGo/Kl/SNR2ScRexsexn/wbhddjijwJds0jcrJ77bhnO
a8chzx2mgBzUEJhiIt0+xHcG9747YvQ+mRCoPFiiYaR0i94oNzEDFRv489YqjOKdE0kH2xKYwxp4
65aa/UnzOBQkGugffOQ6Z0WdR0zqYBWxI+PY09klC2/5QUKn+5ypP6aUNMlijkyZE8WhEUQnWXru
2bFjRhKF+rFjwexwNp4a5k0v9VCxQuUkSM0SVkPi2/O575sI/G4kxa5HyXsesBgJdDelaz9bcfh1
zGLzYOexc7W65vM8yGk3ORZudu6B0ReoRPgozrdUISp02qYnQOrNP/9Qf3XU5PHWB2JXrrqebDWz
kvpAnxjp4tCiJym6CCh8FVbrVHBvWLEHYCOmIH/0oPKy1c++sodAIKLyIVIlRTqVGZltlhp3SLtr
rRIlCdEShFMS+93cwaf51KSvhYFDV2VRCn/8IPxWnOJKlZ9UYmXmUkDi+yL6EmSdN3Ae6YfVRHMN
1BS8N03GRIpUCmZQeRjIpNM5jT6iqXQOSzWYjC+RnglVjqYgUOOoZM2g+9/DrH8ZiE6dmBaJTj9/
ihx++u+/htOIW4FR2c3Pj2vOANIvZgKfrU1uA9foeVJ/8P6WTTR8rhvwBjPXyzWsaoQQA0zn3Gms
k2DoBbx+SVlvhknY22DEfHc4N20ERY75ZPQYxnaaYC4ICqBBVzEWPvimd5+gs2ZVuTeJ8z1affqq
MYdyJOrHTLi+NePYosvlK3UaPD7HGdbE+SoVl4jZXfgh1DMOg10cX0ZgU2thd9bGLdaRZoSX2kaY
G1KXX+w+OzlN496SOUFtrcfQnsTVZ996yXpXv3QmMp76Z6hwgL3ZznZ3l3ZiUMJloS5k4KmsFACQ
Z7IbJPFIUY0Fdo9O5OmeTEe4DqcXqpb1noLglg7wPhzTNXDKIIb2KDTwlctIsbUdt0OE72wuHoiG
BrfCtmAu92O1Eu27zEkBsseMNjLhX3YYji5UQMxXUbFahcZsFR/TyZG5LqiCjLvOluw4HRU2c1Ts
TDR0oKd2fEqHjlEsH8Rrn+QVogSAtqN+8lSADVENi0O/H1S0remsB+LyxYWPn1pLl7FYtv5nT1tS
FBRFcYT4RqqOjagH75SN6FlXQbpJReomFa6j/dNsWGsp9U6wSK0lpBLCuPmgTVc5VMvKjtls0y8A
8OcrzbKp7TRXRySlgn2O9cLj+zCowB/GJTDVcqaZ6bYVttJvESfvTMUE6wVW+8RTKi3t/DOXHttL
Wsm6ihfaKmdI3rBSwcOJBGKlooimCiWiEvu2qJhizDL8OGA0F8n8apNkHFSkEdIcCCZCjnAcX7t6
FIzQEs4M07jage7dxCocKUhJgmliqR6z6qhqGJBlBCeEBCCJDlcTPcrpStuq554Gjnue83FX4NLo
fVS/PvslC9pN268ngxxn9jkz2CeO1rGdEHqY1ko63alV7t6FmkP7XpUzQMUJd6XvAAkkv7ix2rrY
c/mjdiJhmqusKS1e96gxVNkzi16NJF/bajI2RuWlazzF8x6K8QHQG2eNZUiOfc8SF3PJTOzSXoY6
N3dkOgHZxEqZW1naZ5OySm6tDe6mV3KGjNIxD01WvwmIMhdfKdGs2XEdTX7TpwZkwD4LddDmhaw/
6wixG83gBqs1SK2DZzwaRvgBthaIWxTe0h77Kh1I6i2oIKamCR/T2NNXIySWb6K+SrQ7+zAqon0x
gVElzOvf9REhU6psMaT0rJVhh/NpwYFFvIQsqz0twMuKIr0IZR0Gksjx0LW7JyeBoNV5W3S17bED
nrUf2GRj0XPbBwC0G9C7R4PD26rL8mnjRMl45YcgQpz0YKfGtewN+/zzbzS5jAcYb6sG7PY9aX4A
dh6uPOSjeOk2kBWybRVG0zqdI2ywM9D0uCxX/pSaR3v0wlOj5xEaePcQslm91r4lL62/zwe0u30V
5ySD0QcAvSHywo4Uy07EdTy+WlBjV67XiR1eDy52LXnnGHzjTiVikpQ/xoWIFKDEmMcl1CtNAyAL
CEFwTy1LSER2KuRD27XsGGwLQrX/PlhWc8fv8qIlfhTojoZ7TqbuRi+gdoSsQ8Hk2QmPHwNvTROG
G75XSN5JWNwIVn7T9LTbpQx1uNySXOtEwQtLXLJav5mgHIKWqSM3m9xACs2AZ1KZR7ean5Xa4ugC
9WDjBDMz63sGT8dcO7psM47Zka6iOlh74Q27mc4jAnb20ibypTaPRiYIHBkPFNLyowkp2qidaGNR
owXJ2LTw52q1CDjjs7Glf2h9dMzgr1vXDaolaR9yMlKKcRu/01wL+tomzm2Pb8PSpxtv7to7DxeA
pqXxxCrtvMcaXl34iD27xH2ZIJTuh8Zg8pFmPwxP4zLj9wprfDZjVVOD6bjaw9I/Jow7z6I5yCQf
9qNbAL9L7Bk0mAOslw6S5DtiSLM5+PUEVDgMYvbLl3I0NoyXcuZMOXmQaitOLoeT+UBVob/rivlW
SLkc3CplN6o0DTUgZfazylvhPIjCCte9hY2qqOMHQLSsCFZ9DEtGGZ0iq4K5JOszowkIfe/TxAja
zkrCaVubxkIhVwd/QXJr7WcG9oJy6va65h3pjzV3yii4EsdJD6TG3qdHneC6zY2WQYJVJVmOWt2v
qAlRZTel3AEaV6gkzlvpxDEB+KLk+at3arnxZ3A8fRqkDj44yVTG1i+nhw4o037JnfjUosvQ5sE6
2mDd0V0K59iNH5g+4fr6ZnYgVr3PMrd4FihGjnVrf29QAJw0yGTJ0J5tgcRxYhLumNhYsuuuse6m
n0d7vhXG1SfEkk6pr/00f00Sfd51bv+FlXK5C43Nf4VssW7zL0WuyYORl9SHJu8j9Nv+2EwhuYfM
3jaJO99EBYcMD6C1r+pPCup97LIi2evkvYl/UL+eaur9dFNeDCuqDmM11jc7dOobwi5jkxbsmQVP
9DoOu0NbJggPrIKKUFM713kiYTSyTDzmaaRtaiOy70LvlKhwOJbDYJ69kmoTDxXUUK0gf0Dfb63P
A5MF8/BZEBZJepJ9IaWP1ZiNpFDIA6y9zHsAhMNqJTx4FZWMjwkYmm2WlytpLtVVWslj5tflMyW7
+jRYI6eIxiify/y1olSvjk7F6RrjPnt2qhTQcj0SUkEt1utuhm6VprXFhoBJXONe6LyHyh8+JV6S
7lox7kryeyxWWp1G91QbzzQ5jX1mOeaG5AtpqYET5rg05oddxM+0bL8sYC9WvlWNL4jdvjQzSF+M
TNsxYzijIFCwYT7RYqw65MusbCsIYwcFHoTLgz4tpJ507Ys7Zx/OWJsPYwjAsNQCG+Hj3vLZPKft
7F2rxKXEQ/sG/JORTsU7cpAmMJPhq9a0YjtxZrqDEJ83DdnVZ3J+EYAgK2K0P/sKlb5/rjv5juXu
2WFz9I5FS9Kdz+Qha5IvoKELntJmdA1LQfwnm4brBDEnU7JEd2ha5X2p9gkixRahosSsWCjFYsJh
i1kC/6FN4Sa2M1dvn2SnotVXnlI09jWyRhOq1nXg2fKQMBprLOQYB22JDoascib6zPKW/lQ/up/F
rFSQSgoZYoc06KdsKiWMTGJpsN+ss53RTfykxJJzvjebNnwkSEptmxhqHq/dGhVl2dhPnpVax0Lz
mdDLaMfR5gCD674yRGSvraRHaglxxJN4At3FLbejBi9Qm/vvk5JhLlgxfeyYsdJkKjZbroW0+ORs
baBUfhUZStreDpC/xGWl0YhPzLV0KHF6rfyuKyFnGcvhYBdTwkRS5G57i3BsnqVfC0cObIOG17Zk
Njb0gKtqCeQzYcRcDPkMz5vxrGsXXdLWkY9NHJ+KnhOR4VXNnrQpsQKlE02UWFQ3UIxWSjbqYh1l
qtw6JnhIvTcfJ+ms5KSti6a06Hl+6/qhx1/q4TElpoPlk0WOW7rpj0SQtklb70XjjLdZ/VEufb/N
KPdw/Ah8ioabUJPpIXe6l7yzvrU9qY6J/9xSitU2Eto+pYNEheWH5rPeFwn+jdrOT7OlfyPEkm4G
/PUajTpj6dZ07kI1T53oeb7Jlee1dlaNyYOwdZ8r30t3hHCdgeFl8aopS2yfGQFaPGJKCGR1jbjp
UmyGLHCg7g3KMyuUcdZR7tlcWWgFtcdKi3Y1elpwD/W6IpPoKXNtSeGReM0qRWnrpHGKZsFiK+hG
KzkjXZhIN1WIcC1lxF2UGzdnFExHljspay41qQ853WwtATIGsHRr285JV6ZdCl+wA/QAmeh+qm2K
KNndt6ncRsrSS1F3nLw34MXxuo5JwqKaDkZl9pU2jt/RAEvUs//T4JeKj6UQZMysD3K1u6ShV2oj
CxZIg21lD2YJ4v1wDDjAirPX7lQ3QWdrZ8ynP9i2zIQMdzSC2iBFTFwhKJZG/prH7l5kzavtvNnK
YwwmAV64ZfYbPU1abir9QxPIVzLXBM5aUENYcmBqTbUF21es84yTSe6WmJMFGU4tou7Txt2lawgZ
RXzffutaUBm9LDCYiFo1crk3Jd9wNLkcKLMP0jmMBs0TjhPdqPYd1+6j0JttKsKLVX9uuXbWS7FM
G60pAtMt7VMejbumrcqrrlGz9PiUYruCGg4/DZF0oYzSZHoij4pYWLjaPpASwJJZrIfk5igbNSg7
HgVXWyFBfOWr1sNNir7aFIhsNUqyQe9yHohIfK4Am9P2iYkNU9eOQ9wvRFPQdjC2TUSYIb24A1d/
M6R+NJBol3YkN0xu4pIibrPyMsCgPiubrezbuvJw5+F45nAPiDG1wUANbF+SmvxWBT+TOcZVIfWI
L2pwj6w8jMH3xXqZmHFDj7azZbSFQ4nDWMaP6B8lc2Gps8k8uNLd8tnxJi/w/N1ofqFLsSJyCK7p
W1vidBnnH03q7W0jhdE8Fvnp5x9lp4nDzBaIqod2rmKqyspmntrNo23jN+cdkvVO4qNP6LpWDvTF
YkyBaa33rIi+4W7z2C4jiku07ugLUqJW0Z6peT6ZMChnU3938KiwnzBXcGXdm46IHYUG8e+0e8tS
HO3qB0ah+0+t8VIqi3utfO4AFr8nyvDuKNc7517KFQRCdiVFSvpcs7X2w85gliS9AOIvN0MMILgZ
jY+Wc8lG14ciEGPUvJgFIyNLrVMzGOqDubSfc2IlK8Q0cm1klljpRelcoq7BWp+WW38AJuX/5Ep1
CjGVKNhUrrBToc3znyIzpYAwio4FdKpRAatqBayiigcUTf3R1TtA3u8grruT44G5GhTwyncU+goG
VhdrFALMwmc2jOwvmKwZXlZexlT/2yYLqtJBvXH3FVqrUZCtWuG2OHtnPwyF4CozWFyT2V7AYUWE
FfXpMCblgxiFfEpyzrT1a7no4ptlrvELE6BY+vG40ODdRMlQ7vUY9H87essZqNxeG3R9r30fe7O+
TKAy4oKADOsrfAqCN/ALS3ApseteQ8hqiRitSxgugNgZDJT9CcB5G8CRDHdkgHlWJajVZr6Zq9do
y8rqiE6XmbuOx8F4FsLJiAaDSe6sS+4GOm9F48G59hsL725E7iR19sLz4y1n6upY96Qo6R5q58Lm
MZRnztnzp+wGazndUO0oXqhfzlEYkEwtXgyHG4Tb6MYEwwHfD8UjbictNbqDmZmoL8ySb57qlTYj
4krQEmwrMvmbWvMZ1hfVc2f1jKOSRjsX6C6fO2c8O/gOP+EfeR88AvkxQvCdkzP9g5pwCto2E9vQ
0MYdKguG+5PF38IuHzctwxR5XpnnFjydm/Cg4V99FP203GU8fHOTRbu8V50ZIIBerobI53Xf8n9g
rbeeyTytyjhmNkQgtYNQ+cz4w7utizEAnFttM5J4EKvID8c1O3G3LE7GNNUrMfJMKC3vFuXtsnK0
qeazS8sGRRaKyDHFKZ8WuC1ZjfrMNFcmJ5gHfxQ6nZCcCd2K5F8HTP8O7OEpIXDN0VoI6jXi3Gm4
BCzbNh9Sw8VBlCOVg+BPNrzobiPKtktaW+9Dkq30OBmecummL4z0UD4tFapB9cPT1t+kIZNXOKao
9wzEfiknZwaNNw2k5kYjZb6pxZKxkILKgAdDdCUkD73UVrOxqsK4pVb6EUJHvPWyi6+tAK7faN3B
D72b0RkuYt+NYKBjD2j43mdZfxj9ZDpapJ9JkZv+z0npA3mBtRWNj97SQjAGzUgNPUJ6hxwvb4Dt
uQ0LP1Opw0MGhrlYBgZbp8l/SSr0uTGpT0fv8GbB57yUTnYpS52CTcnK46vbhMLFtO67FOrnFFun
2kvpOknxDOuTPUzBkH4bn5i3kvgFWrx0edqzzhbspTr5mUfQtPVqw8Q46VgHDevlFiXpbm6z8ihK
Q8Ad7SCfWwIwO07qU6HZ9UFTvzAVVywUZO62ce66WFVQhHectiWzd4uILL5PmV0N27szlKpDe++8
yxRLZ1u3st7TkUOuJhCuDbF8Mzrd+E7Bk71jkQR+LVzqXUXBaau3Ni3x/M9m5n+TFRMdC2FU8MVh
c4vq8ImbZj500TxenWbxzmllrScrG94wPJiBmCntRqKm0gmE6Z5PKEqjvjmGTf5pyBnFIqm3M+qp
RSpBH8kcaDeVlRm90Uxh72Oa68VIEljw4So1MvkofQohgQeEFRmILdaLlmeniV1hkyCAbQ2L+ZO+
bfdtBBtexPaxGAB2c/rZVYsbHqEj0QFbDPQR8wdNdcqBZsX8uRlxyBHzGh4/wwTKcFmP6ZPVNs6+
sLnE5mhasaXFQ+G1W2kteqDDkttUIik/0X2fTCjUwy2U8bSlEv/iZ3bxCPZ/x6zhJzb+9c5klGAL
IRVsWjlc3Ehkj7N1SakKL/ot673XUG/6Ta+qA/FipPtMlPhTlYK1wjFQZ+146sOJXWQcYvXWTrXP
sJU5TOXNrmhmjHAfSrarL3Va7QpfaGd22nxMcjqZPu2BgkZCPoztySZ7/94XHuHt2nxJo9K89guN
yLxxo/dQUmHvHQpbRQ7pqkt5HluufqowIUbdktJZqw/kLadgqdnfN2PfXxe3sU+R7m/7iawvwHr0
oXPWbMeUb99CBXZIFrIAuszv1ty2b3n+1pbLMZXp8Giwy2OgUzCRHpkkf1kN2pBylu3SIEnzvGAW
zK/28eJw+UQFeGSToiZ5S4xIsrimSbjHb0uKH6LfFUj9K8Ww+sGCxATcVRokpZuHVjPZm1M/eqxK
RlGMqLN2mFPsrW76jyPvihwcMOMiq729aoiuwtnKzsznr4lRZs+h1UW05NwbizYz8EMh31wNNRFT
2aO4TdH8tTfq/tmmA+01yUuzdBAFloTK2Xgh/80RKcqqc5XmwdAs2ikW4bqmfcNwj0hO3INuZA13
hp+YU3A4HntRu2V2bmcb2RJI090Q/qFCV1rsW1t1hIbrNej2Tog8Yp5TsHzWWHAioLlxeyqoIEJG
bdaab9GOjJuEUE/OPGyhH32acZg+oukYMRWR9PqbMZXpPgy1ajP05ITQixgrFLDpis0cLVO7quis
PQ11Px/T+LlKkNRnjrIOkyrZW1SeMNUL7cL7T/n4Qm2VmyNjHW/REMdnT5bXCiDPqp+wxEmz4uCK
6GvdSCY7mFF6nOtUHHLT7xhqwalUes6ndCHpNZtjsy5cMODSyeDI15YWmB2IZXZ4j9pw0CXTYxAk
oxtAeiX069ZMS2wZJYCAQUZpnZT5Fei7cSAWuSJXYF0d6v7ohjnHVXnyudd895CkjXkDWYj7i5mw
LVBI6+IEpt15G0xO89p0quTatssc/CFU9nt0mUKDL3RaO+SrSVL/BAr8knQrjb7r88TqAiPMP5ts
MHJTI3dQlWd/Mq/kvZ4avX6HOwg3OeQqsR6WWfsgQByMgkf6eeAUgVzxERPCemJTtBrr+Iu3WCQ5
3atKfLhhynm5LH5wtCPZ0f6JyqSmuv+VeEAQToBrIx8OGud3DmUWSqPIRq0LuDPvih4ShqDHk6zl
+De/pnr6MNky+0MWj3Hjv3hZlTg3dcHr2v5vUbxZLoMxLqSiSxm+WiWZGRBWaC4qczj0viN3JLU/
abEMzzlClFVmUHqoPCN60YipFZQenOHSJsa977ryHQHqM+X2VaL5znbSCAIM2qUYI4Sn2XJ3SxOY
dzp2wXAaDTC+vSS503MqIU8Xkf8ge8MhX6dXUtobOC2pSjKkgzZvaRfmEvrOmLjmZvBI+PnsE0kS
u1+ZCcHemniXsCHVlFr7MWLgPRlJg7G2MxtjmsNdEi6s9A8SMcdJlPEqNsunwsZ1ULbvsekdBw4b
OVJrzVxBGdn7uvuMSuWHHKNv1mRf0zarVq3x4aTVPWntexYOD7bNaPlgfAeyfqul8yyj5dUuNBDw
xSFteI3G156XGd5XBKHakmx3ZHpBFLSrI7GPp/BeEx1meO8lehjLkaBd+xQX5d3JSXmN2eeZfpKf
Olvamg9ur5nE0sW2znILDR9jgfXkAVjPHGPvJ2a/BbltreYpg6TcJ/N7ksUEiFKx1kvqdSZxKqb9
dFVT8JaVl2pawGCZdyqzQNMIJf28F/8HjvUHLoULYwJswy8Prs1H9/Ef/z+LfP0oQATv+vSj/eh+
jRP/13/1zxER6x+IFYFP6Dbc3l9HRBzvH4qCx1SG7TOoIcxfRkQs2MAGceGfaWLGSv47UGyIfwDO
Mz2hg3ji9gew93//8+v0v6Pv1T+zuvK3v/9H2Rf3ilVL/p//RWb5Xx5SglfweM6SXqZHo7u/DYj4
RjI4MqdN1zG2wBDIMs9v/lzTqGCia/PLJ/PP1/71tX7PLrNjdCxS844PgpY399trSaBx6RiVTjCP
TfWFqXomnpivx6JC13UXFfXwp4fhX72iw2fvcXAnjeSpf/7LGuKjbkYAETqBy6EKNn/BSW/NcHtB
ctBlh9RjS3pLI7/YxcxnkTWMkIszxWnqu9JiuG7SrOikN3Rc8zJCEcIiygluyurL338yuoKQ/bpW
qI+GL5wTIpeCK1wwJb/+ovT8GB+eShfek+ZfHEOoZlXnUWmN3eo8djMuUWrdmI9FKz8PnJp9BCG6
+xj1ffZSVlN3jKal+vH3v5ahXvbffi0TgBuTTCa5dhX7/uXzc/1G1KnPEYmUl3Xpxjxjttqo4h/O
2CU88sHtmGU2nESW0qzpUhizEd3SeLLcN2OO6BRPMXre+iBija4kCHk8ptkpHBgoJgTtZ980C8Ga
aaTNPq+M6ksf6dmumJv68e/fif7vk1B8wp7LfcNJCOaLYtT9+la8ZBlF18M/qGlunNtJjeJOvk74
OA5fIS64D47IST70Zd8+aqBev5UORgGihiW547zJn/IxPgtZUUd08YoUjsmUTPSh+XmCBVPf4zq9
VW3EJr5soTGZ07YvqaL4owv8vV2KtRkv99KK8VgVL6ll68+Zme67Mtlrs0spXVIWqm1MGCYIitQQ
645jI1gRiqaoWk8tJOF+ONn+w9B4b1nHeqSxsgHt7J761jnNA9Ftr2BYft7yD3ZhBwqksbeVThbP
6lczLmKrW57K5LHD+3EU6IrCJjzlzF5RcepuXYKOU3c5OSVMofrz12jMkEkTyl7NBWY9jy9tFZnL
a1Ur/6SzFRA7XNf6AkD0G2m4zbDEzykaOFnLtWfoZ7NKtrNRkVfqOR0JKdcUmF6acfrmjAjVRtNm
tl3PzuQTHjuN12SxRJbL9jPoZ5XtyEfzYva930GFZP1b6dTfTjZH50uXFtynsWmIk+7Qv8P9UYPd
LaPJrtZ/f+Wox/3v94DLIB6QWN3UTWhA/3rh1G4Bb03ic4UWURBKzUosAqM4M/K3M4upVZEr7cmv
Cm8KXEdmkumhfPxBq639MjXF8MLIj/aNQ2a2dxGwB6lWMwFsd4WKxJsMcdDE3Q/DWL0T9MnNbVQX
8ze/H/UnWCHVCbWw9q6bWXQWy9zuaH8x8qAvMX5ZK/JOQHjSbdc74k83zF/c+jyH1PLHDIzNA+C3
t01sFrw2t77Z+PPFzloi6SmEHrwUVXunxK6APzpsHD1fHoykbc8c+yiyja5WH/XF8l5IXrc/UG/r
X/7+G/mLh7pn8cAkLeo4dKzVkvbLQymP5mJATWIHI1RUhqirH0SzD40YctpD0R+ezH/xMbCBZ36H
7IWns3L964tVseGMhENwZ83SfY/a1uXcJf4EMv/Lt/TLq/z2cMq9NHGk2dpBZibJd1FRXZDScldc
lw4G5A6m499/hrpaa397sqsxIl/tITxg0r99iFyhaV0bjR2UtmlQFkJEuLKxqBzRztiv0ASRhY+j
V2+IVYt3U4gSDxPe8b//NdSn99tv4cPl8hV9l/FU67dP13LS1kxjW32VtD3NWXw17M5dRw6VGNSz
ADZcYhF//5r/xnzmNMnuyQZx7RoGcTh2Xb9eP8bE6Omcp7AGF3tmnqKXPeByrIcsoB77HrDoft/L
tZMO5kOTMYLObKwMt37vld0fni6/b79s6GQWo2PgLJnpEj9h7r9cy4u1gB91uKjiKKcR29FEqlua
wrSVvD+81O/XGBsLthhM8YP/9zn2//aNx4h2c44dRBByJzp2eeoeCvSsF1OGPZg8KOp/+Jwt6/dd
DWAEniHs9Hhuujbby3/9pOkK2Eahj2GQhxgHZWSNNKOm8V1LqkWivMQuUYwmSaiqoN3stv0p6jrs
QDP+aR3w5o7dBBFOg4ZnlMCg7wi93GTsSwLC2UKOm1WArqTurnlgpNSuZjFQefGd9azlyVeDYsBb
LAsAGwbHcH3RYWRG/vxKELlfCZLEJCs8cEibyljI7TK4+Y1PKL4yyVB/L+hwfwqtxiH2Y3/vBjF/
9TV7pNQacuxanGJXA7FYE6/EQuoVEVdN6w67tEvsYCIysG5iM8fWZ5VHy4xJfE4O7VB2OvwmKUCy
ZPCIu8SFJIOTeZeiUOFxPdI3XV1YGT3K1Ge4rGE0o6RrXq2QTbgvZHeY2s1A+ND8TzscuhOCrSPK
4vZcm870w03mYDJFMPl+c5jJ+4ve9Bqe3JYN5LBCG2vN8xlXASV6gosXMgv6a5Om5sOQzNgXndDs
v2JZTw+IIKI1ClHjzBah35b4WuEQ1AWQGz2UqBBt75p6Kvm05Pa9GxjMK+F83SYpI2dVC2KM0RIy
W5HTGrYHiowy9/T3sqnzN4aQJns7dtb82OTZcNeY0WpXU0QZeg3cYwboP4iXpJPDgxnO/UttpP66
1N3ymfHcal9XWnbV6ibaL1OrPWZum1z7tImJ5huCsfDC3UWLQz5j0fogGyeBxMSjNx/q7cFuk/6S
LwYZB+KlK62ezc9TT0LDml35TuwKcB3slE9tSC5Vwxd6HFJCTpWeVV8RSAzPht+FP5zWal5ztCcT
VNM11j3trXfG5rLUYfakUWr51JpN93UiGG5s59JofPqi5GigrY7aShNUIkfdhYQUasRzWpsJjNFA
RSjjT5PdA8KwuGwvcej0L+1MItXThjwgqYONW/NS4Jcy3LR+SytwkN4BEgUWFnPWQX/H0ye/MZdT
3cNxcx1zCYQej9ueA8bZjrzykLcjjxtbprsMrNU6m8Il5YNbRsB1dANJHsRPw+R7wTANGrQhz6Na
X2fBHGo8IvXJvnRAE9ZJgbZKkqCg02wut5Z01JGWh6SRBuvm1Phx9sp5uNwB1NcDX+/ibewjgB56
rblWE0Nkvo2ckRI0L2wU9VvVxMO9sbxuTVMs3dpUmCFb+TWWwlm+xBFgEieek3uyhPmDRa5yOzpy
OlOmfm+JqzzGeRIfKhPMUjjAAg3LPNrWXj+tZm0yvsJXIRLnQU3sEoWQFbK7GloBuCDkk3G2VeRY
zDiOMaUnadtE7opQbIkBMsVtiOnK7IyOIyYxvjEZGD7MXijaVd420angiTsHXta4hzSNyCVnUMTm
ntDLYtEs7+LMCYgFJvs8qf0rfY/hMkDsBfHVm/JGt6+mOwUpzn4egNHxcl1s7Kc5L69R78e7zkCC
Go/mYqz7zBnhABTCWE8NFR8x9Pa3CujSXWOgdWvFdne2Qt0Iqtb6AFQmPpWh3d8yjYKvoJv4CXlL
u9dDN3lFPR3t+pBHHLGMcdj0hpYw2q93W3/yll2M3oZRFMh1NGmpYzdLeJwywsdJJmAhCDzza2J2
ORMhjUYUMRMXOcB82DjaLJ+9zkW0rOn52iV3vuvSyHx0osw7ka9kYEwrog/0WwU7SRgtSW0375Pb
Mwpr5PojtIn+pGW2GWSxASq47ZLPXmUvXKHtjM28Lp7kUvuHIrdCAuJedTHcYXgrcVS+gw8brjDA
5CeoYRlGacHJTccjeS8iczwzlGAFLCgc0XSOcW2Y5xevGXfS0yce9MOyYXjvkgyCIHTfJKcyZ5/A
sWcMT4PuaTs/jiHk5DWbwbIa0NcTQ292CjXGuOD4/6g7k+XGkWzb/kp9wEOZw+Hoho891VCiRLUT
mBgS0fc9vv4tMGuQGWlWac/sTu6orKoyI0jC4e7nnL3XVr9MGtSkGlZQgd04JARvnIXyXa+t+1bI
kx3A0Qgys9oxyfUXbhnDUE6F0S2wtGU3do3hh5reSIY9PmeqN5SF2UfWTBnfPZm+eVho8n1Nb9IV
RIriPvK7CXioeMsyrCcBdfibVsAINsD83Q+Gb5sE56HKJ6BMX5dtECNECe1LZ3TiVMq02Y8+A/CS
VKRtyYSAszCOxEtOiMShaWr/hcoAbY5uVSSJ8wr5C7vuqgPIE+/Vrmz9qcJJcafnBX4DL/Puh2Go
v7HGIJHrENud+mzyHzWhzB9jEO4vUnWzGzmAmMxTD/uVR2R1ZWWIG31AV4c67qePEr8pflkvOzoi
w9LaWFp/P8B23esggRg/Y2IbeFp3UEKtlnHunDccOB0gTNVcMjoA+9B14F3PWXES16a30v3MR7WS
VJsMXtY7xcps/FEIDpTsxS3vkkDGTHee5BvZLyqGe/i0DQbyWcz9ZGEXtraKVF59REaYvXYOfFD8
ccQpLnITZ/kaP6D53LeNcRuLUDvEQdxh4MYkXoxeBYrV08wPUEf5Zmr0HAV2Ft8AAVKnWuC+nCqf
CVbaoFUIHNRYC3eKjDX7QMn1CHXIA2g8Ej+ncIhuqMDkxpZQq5rO7/cNiag1jpMu2vt20yL/MdEx
CWmD/4BVgVFYUlXcwRgHamL2JSdY7d0otPbjss608mkY4vQXGiQitrU2uDRW2r7aYNsQ/6O9YUbV
OQgBmzjod7nrGZcqNw0CsWttuLNnz3LkmNl9UxXBMxrQcVkUOCuSKKAtEnQuvqVAtXMclONEzExT
+h9OL9tH/q4M2Ec/xE8DQTA04XthMFjs+5+4nOovhQYF+V6bb7KisLG8MalZ1GDIKInlsMpVlu8U
XfztCJSqWifh2L/qhS/XRsEzzKo5r1zaXvwEpKX6LIQsHoil53s0Tf+YJqgd26KMqo2VT/33IGAX
L1pQfhe95jecAHB9TqrQUYS6g+2Ssd32HXTRzH3yJUDKkdnKY5WaHUGT1QiEUBlq2rth0mwiV3Ag
hio3lm4/ILDTBhsFIPZ19Y67uWLiaotbIze7+SVOwpMeZ/KCaqhnsu3r5cJllr+a+FU32KdLAKOl
2nLV0OLF0JLcak7CwE04u/9xjbUnOeXNhdSWfOtqDV+fC95TlDrO16jyZgt5K3gmfmFYQ0eofhJV
OCuPueAjU8X0QnklD6hBJZsngcr8Kf6vdtC0TyKog+e2T2EfjJrOdLskBbmINPfFnppm1kHjUEA4
Q/iip6lVosXFLuj64aUXYwiQOFKK9FvBjtB3JBCMWbk3siDeBT5KqqQJ/YM+MWnO3UIjolhMzlvA
JeY+ILr+o0h08abawfnlt9qk1kiwIb8XnpPgWWW06SgUqjjHFWa2NggfgPx2r7GiWTJoeErqsRaP
TiuDx1FU5VGfOC5qwpp82Gmde0sXU1wKx8WXOUVZeDRYXkcmmgq1XtdD3V+hiCidRVxlsCsGjfcE
ul1aYdBUQl8jd7QZOJUTIHmucNFLS3zFauKSu8/G2fJgpyk3WL00ugeeuPvWA5Z8ZI6Lgd2JRxnd
OhOWkZ5gFPYUz7F5J4gOv++tePoUgY96nozbCHmm3kT9xgxVespFw7g2tY30bbAa4Pr5kOakeoXl
L+QmXgZTKSNn3SmpdzHnmFzmECVj03M6ZoMrDJJE65RGIFbaNLblbSd17pjS8conOgJwfQkbT2v6
CxqxpNONO4aWXEywfMdVMsYV4Xk+t4wHInyw/fZFN/h3/Hvxa6iFkADTLp9nzVbJbFnzApmvaA/4
vNSlvmvKviSCaJq4fYEwCvq1Zhf6GpaBB93Wy+34kY4CrGILihuTB0BLpWV3L56HVkFzo/GUiKGB
nlm2614TFjImYqSRJEMrzSi/GE9b2QwY9aqnjid15/VZMRK4Z0+oUHt8EikUoDcJ/OkSuKZ130Bw
G9iXdIweFKtkUOl+e1cRvgBCzq+Jkh9RelTAgX0Yz/EIXM8TeX7TmZ24q2yksTuOU8HdEHfrAyPN
AMOjUX4gG+E6b/elc44YKcK2YIN6yy2JLog4IWff5J3/TCDv8IATGksf7shiwR7lvtRIkilzQv/F
b1lxdK/CtbDC/HlooilZBcZofqHMIwxWMvHs6wBDcDisuae4G6HnHzYKogUQlGHbmx2JAKHrBg8G
1JCfASHBJqaQvWmx2T3immBuXvgJLAhZDcluzCbO/rSU62qs3Ywu8TTdYaLKX+zc6nZN5BkvALVn
2wln2yVL1Jfd6/VNpErzTKBRsa6dQqM7BPs0D8J4N4ah/ShiOlicPGJWbjG4f0q7ivOTu5+ORbSa
0Jm2oElWGMQRa/Zu/Et4Rv8lYj3fJeXUrf2AiJ9yBBqW1hVuvNG2yJ8SQLBAKC7dIuJT1WOJvrEg
QCCytJ8SP7K/ICUT0SU23Y2tNQXGLwHtquH2/qtJivxmZAq/ts08PdNgBx6rprpjyw9z7ZxEITu9
YpbhPok+7KZbLJHgyC3GSewBJv5yAkgot8thWrgS1bETeOmb4+JOio2eJBQF7cDNZUZVZTXZk9Pq
urEwsbtqCBV8lPBZ06Ej1BBKcJ536DDb3L+AKQ3gH+jJoyht4x3DKdtXBWDdIYYKFpoWrZ1+fMA9
9N255q61lEP6A+4So89VuhCgRJaitssbH9whvFVMD4FdcJnw1Mr3ASKSEIMiUKv5x4DLf5IiBtEs
Gao5ruKVnqpcGeFIGv1ANFhDaAKtPs5w1jyyx0NWROkFlNjEcRg0l2aAIdS3BKWIpq5WoCKyT1e0
xV03NP5RRF5UbJTqLIgaQXxw5eS8BIbHDxblEe2HwB+TXzlOQowTJnOdtW9mznOH0GQvVYQMFwsB
IVCOXW17HZZ7S79/NYiBBoitzff/tH5h8mBRBYble6db0W09EOjos27WjTsyk2idjohKYLWMBFpd
0whvdoTCdW8M7pYyuFkWCdAGkcjx0BuevFSNKJ4JAJqeNM23Xxl5whuovKkdEUIkCnemyMmxZ7nu
+piovzm5EqVwPHXNtgLOaS7xjxsYU3A14EXX6DZoUwzvLefGgAj9RrrYh1JSZddlbygb/aamHmNG
xLcyncYdIzsUx2MNC35ThX13QFQE0Mjvze8uaEoPJZBkYUP60Y4kYkeIyPH7I22enkVc+I+6XaJ4
rybQPCG4p5L5kNRf5unIoiARelPCp0dK2ETqUXHBZrwTj+LO9wPxVHCJA5GMQCIfGWnVRY7WqTC1
8iGQxaNdKXVKtQZlX2a4LfQgz5BnSMXyx8Nk9GxNaQquokIK4nVnxzen2z5T7RY/pXkn4Ew/eaY9
QO5JC7y3+KgiFpCm6Ra+kFph1IXCs5SBCilH84QE1gIWBY7o+TBE5Jalo/oZTTmtfRx8ewXKdHYM
NhULkJTmA7RSsLKtGdy349i8WqEbHRPMl2+VHKl7eiOeRwAQqTVqv1Hc8FN6WyPvEOe7yGBav47v
+bygdTxfHCMNDooqDP2hSTFmdzbjKopKqyKjycW/25jWaYAWhPPCZATmy/ADk6W6sC4cSu/I5bgP
S6tZjGPYPyPFcRdioP266Z0MjSt1Z030gpsVewJj603fIswMy1l9S42AG34sD6CNpk9T14y7MA/o
4tl+3K2SkLxqjoxneKnBOQtbLq3LRgvh5eB1yDv7BW+TvHdwViX5cpoi0B1eFnI/KBHkyl2Upf0r
ZZgLUwZL8k9rl0mBJWbianGejLauP21JA5QmjJPJDQY6lLCeH78RytdZa+WnmLiGUlXfIRvKR89M
6h5e9giNnHlgpdw2JYaH0gaRKyyk3lPwB+oa+OumiyzjI8pcU1t5XdU+FpmZrmqp18dUI/E3NihA
l60pAQx2qEZhN85esclpgpOrGbN4tM7eTb/3zwWhYHs6Ebjny7xkLQyasWrjlCgDWtwBC0vkNzo/
BtSbwKfiVohp1k5JZsGxQYNBy7ebpr2jAFLTGKdJYblggm+ZTtsKHPkABMpKK+4ullsWz26Evlcf
svLesAhIAIObOI9dbTTvKpBq52ZpsOnqomLKWnebXOTjbhKNd8SklqzHgaCDGvEiRmA6lC2uoXvp
iOGhHfpy7YyDtUottWtcXBIBfJ22zpJlMKBfDXOzQmM7QZTvI415T9Bk7OhkC1bPZZRqyJlHAA46
/YTN/EJai4ZJIPBh/EWeyrPi3o+oADbZvFWmJIE8GKg5f4WAhm6pJL1D2PkwEoZqREsUphHR9Jo2
5IDNBkWPti6xSe6ttteAzsdcD8yOc34RxTohXmmXfobaOL1G0B25Ow7RLy/v0xRMlKetBPkgN7is
RjT4g/8ANdTbalYPMJimSTEszSbHsIdzvvyOfBbyKr0aCLMGS8Hk9DiPVcp9tRw5CbkV2Hc29e+L
HCzSGOhUdO4SCwCONYTHlLa21mEGkXp0Q22ivVJ+RT8W6JVp5cBEMdlvHTM6Nomv0XmL6+xZK8fh
Jc+i6Y4iN/wySd/lKtI76h3mg4a5C9k5Tls4bw95PGjoA9PhFticAcmxC54wXUGs9h2vWbcob6ni
U7+6E8qffnwHsmiDqh533kQkJTZjCT3C99KQs2vM7qnQc4kDuuh2wuoolEzbeOUEH11CZA3zrgla
BGLoSPcy8FEKWE4ImQfIwaHycW7ZtAJf+G7xscaeeNd4KVRWwBrpg42y7FZJXCswdIQXLOmGIOZW
kbH1S9JcR0OrAeQgQy/1wXvSzDTf6+DIUh6rQ7lUNQB1aMj6YpF3hbzTnKTmTc5L5ysRrgcdTajk
Sw3Mx3Z5SaNvhddHG+/diY79tuAKSvR1ILCLkUGGzyvW60fjeqvsUyfY44DzX+xSIAlNaG2IVe7i
VENfa9uovieidjvd2ynppz/92ORPubS1p6QndATys8g+IzcwD2lsWs9TNI7viEySd9XZ0Up5slqJ
ydJuuCDYt8RR09tJwzxfEN8XbEcrip4026zewj6vNgDmSjpD2K9JGNHSXWO1+rPrI0ksPBGvXWsa
n0F6mhSEpKTKqZuwAbh4Cx072Zjj0MM9arhAek3SY+zW/VtfTd3K1SRbY0TEArOZZNeGqrvVGreB
mlTxhmkhejwtc7uDAHN3T8BaAYOvIM4ia+2CY7bLH900ORekFR/8CqMZAytzoTRZPQRKw289EMiA
2sOfSF/GbwEjKxjfLLyTH+C09YsOh/Qrq9NhBpc3PUW/gzqz7jRcYL3LjRpkQUajZTYFcUzQ2hro
qyHpWrD96r8CM8Au5ySGcQu1ZFxlkalYnrRxIdqE5jZGIvbWVa6+lXY9rGXmfST5LlU6Wd59Vdy2
wcgziH36VLCu5b1o0/zJJwDrEUtFRFHZZuJmIg3A2dAm7mm+dO0jl3P1C9FXsiVMfb5RTVjAV0as
JK1VOE6JH6SPaYZDEfljcQbaWG/KHuFLlXbhhrFzcdNDKV4N2M83ZRVQqw1dyWHYYkO5qWnS3caW
hZMFq2HG8GiqN1raFa95mKMFUSP487gQZFybzbjyY689GmD/Yd/owzJL/XpTi7rdW65vnRs37vFg
BnNzJgpNFVBFZgbjmSi8HTErb0eoOVuawCmbkY4GohPBQ1bZyba0IzrDSRVT+5BJ/6WNWgaPuFUf
AzSYo6A1B6bFRb1ihrp9NONQXUqjdd9s1w1/il5oBEOWo7Wz2Te3qnST7Ygoei4l1K52BtB6eiNh
x0fayUx9Z6t1SIYwfkTF8+Q12pHAmPrNzCbmLsAbiEywrPX/AfvvUMFn3tpt3fDTNTKJ5NkQG82e
5KoZLOvzOuz9n1aI/i/Cg8/ptVwl/jTz/pv28/9m31/pV/avr+z7X4fwV37+qv61rxP+a/1XPeh/
/qQ/9KCu8W/XRI5o0WdAUyTmSLI/wspcclThflsIIq5h9n9ChuvGv+cJujtjZMm7lzrT+/8gw61/
20gIiFC1iT4T/BP/X2mp8jeZABhzRKB8MujjrjDp8P91Zl/XJS2hcKgAeWqvhITtIjM9ZwWeZMO2
6xlynSHObhnXd8G5sOaGxAPpr5zBmCi910imuPFasIRWPKOc2+UYAuzrzOOkcSVtVCyXBI/sIOMw
kA9uzToIFn96CI9/yEf+LDP9PQ15/goOoF0aO7DPXZP42L8IPDA4moI0d75C6kHW0NwZA3aOLfPo
B0D0cGbQC9LCs0XEA4aeTo/KRUwj658+x2/aof98DgYidFEB6Zi/qVtkrBcOXT0gdK3E5TvsjAnO
XaHjGNKifR55y6As5JJkjnBJ8CCUILqtJWb8RBmPblnv/vvv8pvW5PpxLMdAN4w3Ct3Ub9GpQD5k
RaxWycfxxwWqiVPLkRuW/xT16P7mQPjPX2Tx1yh2MWn89r2JPqshW+fkk4XxWS8/SjMVS7yDYsU6
3rvsiK4097Kba0HynZzU5atTPS4B6X2Tj3YDKHfFFgbh0XjUY2tHVy+pZc26M49BZg0cWqa1MN+n
aFM308FqSAAbzXfHKZZaho4mZbi0Vu64CV3rs5NAES2A7qCMADTOWDuA9D256pcuD+u97jyZGSmu
RgwsEqgKak4gDaTaaoeabXTBUOB9JCJkBknSiFRHg4bT0snZ+7Pw3MB7bVFRr3sTE62wX4Ioeg6L
ci66ya8X2rSpig6YUHgOPL5C1zRHK4Xcpp1Q8jrEsRkYvsOj45kEuIOW8jPNgQaTcY2bH5NEfrhK
1V1NO7Mzi+XU0//uZtNZTdxU5AA0KyS+PEdBm4PiP9TxBRMTMwtApG3xnkz+icqCP1LDqzVZpOFF
F1djGmPJLcztf9Dm/S5k5tmzDSBfwLmjCPz8XWVkTxl+q7AsoA64WxjpdcF+0bT8qqXDjzzxLTET
HTwJ7AxUAPCxsXDokBH4anun/77gr5reP8nL+DAK+BECd3SM1x31rxtBSl5cUc8gjGpUm8RrwQpI
3kBSt14l/pDe6bVd6Vb3Rj+WSFvrmnmDsfdaAYnCb8WiceBa1q3QlpFZ37YR7v9+AuKjmmTfIVBY
BLX2kxCNVAfWufCLk2mzvxi6jFduA2krGc552Y9bw+IZZkO0GBz3E0lhvMyogskvNve5YTLFE2oO
kPqnh2H8/UXEdQAAwOGFR+cvfnvjReuqbkTsu4UeyUAzqo6QlVjaiX0Ca2qALIu5p3buEyhErm9E
DoMLWtuVuS2tpFnaZA7P7UQzek5BNhNiKKhWeYpYVbABx3tGmbF/0yYuHYjU2l93+lYN9BTubAKv
iADk56gr9zTGT4QannvHOQGQ2gM5P9jKPsHIXumW9w9Rs/pv2sb5sVvoVi0UZ0Dc/xZAz2QUxUPH
1+41UmMVo46FgxRgRQG/kZUkQtMqOIrw3YuA9wyclvyHj/D3nZ9PoGb7l0Xj528erFamXt+6VbL1
6BogeYEN6KJmWv339f2bwez6PdlsCDcVfEn29L8u7ywpUl6chO9JRbCaY8FGGNxASYNtRyWzRcL0
D6+3/E3Rd/0rId8zRua9wlIx//9/0itGaGxS30L0M1u0F6WE1psb4t1CR+LDXnQjlle2MiwGTah4
CAt5smRMehcMYLwTd6z6LXamSzhvhbqXbOMSnWkERHbhHeYXgFQM95+O4fm4/20XcOZ4WEthVJ2v
NX/9zAiY6LrJuN3y4dRisBQWyFJby4J0RqnhNAVTCp4xqpamFQYbL8ouWdls//uz+t2WN/9yuInm
QAG05FL/Pbg8kYYOzcltmdeR/lZXJb3xsX30uIzfTJI5rSA+yJhgAziO+8jbymbPRuStx7oDiyQv
ogAX3+Xpa9kN7kYvR0ogXKf/8DFR9/7957JQ5EqJXpPEGPnbzwUxHQlB1CXbXCaXskyYFgvKIZpP
PHrEyDHdYS+fflV+t7WYH8F+YSmIHpFm5u5citmVjZZxoYX+udSI+5q8rVtzqGW+d0LjcGF6cAhR
XGFmnZt7RJPYnLe+QQ2nfZlZG6zoNroA9NU2mLHWaYPZdTaAjnoFj8Ik0tEnErds2Tkd0sl0phjX
c9vInJOGAmmDEJZchPYy9dPJHPmIYd+i7C3D4zjcVw4bnw39CiVOMG+AdBHOcQQ0OXHLRaIrzLvR
gwAmGntLMQD8NfWBW9pYvZdafejj8ilnWjJr3+qFwYG3kOZJc8KLsPmbIlb39dozwoBGn/KOjHIF
bxMKx6QNC8YjzoIh0dFPLG32bD8yedmkkESa4omwLmuVtUzrKAOx/oTpTkzpp5T165XsLOmZ0piI
ziScnE0kmyTfDSgVuAIwp4vN8IxBeyJB86FmcVT6U++9enSF2PmfPHw8C8wkNKndbBdUYu1F/MtJ
8ccz8ft6fZXY5OGl41ZYSwLO85phlnOjo/db0JJjF533c49R3IKGxh200PP1E6gpvfNNHmb12fQU
p0a+UoxJULW5p/nGdz10tCa+w29wDArnq3GijVuTfuoiudR0Wlb33GTe9QyIP2wqkHZPlun1B69q
9jGNxrdi4LdWWkUXJ49BBgf1LlasgToo3kqrxeJq+9QVVbafXb+5b3+2TxlDfCyeMC8IZzibwgE+
0WfYGUigxVwJVGinW2bFl2L5XsHuaVEYQGtogc4pXUG36k1xrDCiUnEDKLGTc1R7Jy5f5/kJ20l0
GZWxtwoTO8y2nD9ikvJzpvxS6JifKhn/eGDcOXzwJBuwGQtzr7DzM5/i7mAO5rYLueIp9r1ybFd5
v89l/c3cc+vqXHIbz4Xkru/mVYQW7KK8CiRZx/Ms4zeD3DQU7t7SN4we8iNXqqqLFqxjiKey2syr
wSC5YmGWwNYDaIJTraHfDS6xzbeE3o+fJESKglDZKV7RvwOXnd+GEOXLooO4sgAOvkXGcFMefK94
A4E3a3rAXV592LYFMqof48ukfly7gpAB3sbOzm1rbK9PtE/zH3q1dVso9oWHfAaqg+Kha0cznUxX
c5fDDqHX7eznTSatHT6m7TKz5r6fxhc4WS5+/LFe+YpPBAUKcmHyTld4w9yYvisUGqZU3gOhWIex
mT7M0njWS46PMDLoPCuk2Vq8hxy4MWMMxZA62S5kdK4HlrUxoiRoGAUQrIasp4svSJ5OlT1sp6Fk
pGP7F4Irj9fn3aACRARoQ1/X4rU9TEcR08qn7k0QTyG73QzAXpfQji5XLjuWPbJ/2ejGgj8WFHMW
zPEEBcrQucaZ0nPk8+Ol2ZeH8ZfWMbq/1tXnQQX/sxXB9EdyfBSN+Y4zfQN/82xnzXtUsbMihjtZ
jbn0MsyggRmi17ZPo3RO5Msea3iDK6TibwBFH/x4XtZDdCny70kwr6dOO+jzFjUpRtA+Cw/JyOq6
p4w9L95I9QU9lUVEu+558r8dgnYXps82Y7N3/LEkx+QsevuAzw2sHcd1w55WdFykeGJE4bI9QWhp
andlVhC0BKg+PbW28wcsXP7GIoQV56ng6bpvgM26K9xZ0229Er130hKwkjjKmTASAtDNZwgBi0t2
LwANWMXL8eX6UsOzpqPAJAMAHGs58rpn6EKvhs6XqwVbXFyzYpJv6BrB2hJ89WmOFhRIZjEjEJag
IOOIHva/1+y0GYQ4b6yMcm4QNME/9dvnDLZGZeXcHj2+e2TRufbqV5+khH0CUnUkm2vqergOil95
YoIFtFgH5NOT/JQEz0M4fJcFx3Q9LYLK1VY+JLsl+t9nH6buksg+er3iYV4g5H3wJyAenrfiugxY
6c1H4r2YTHKXQuO4iC39mPe5v+wa90NMrHAZkAoev+IuIwozuQzS3DFj+ZxP3M47KQD0djEeJ44Z
tox4dV36RG8eW/i9pv5iWO6XnsG3Y3W0vToKF3JVGbEseT0r85emutdm4Ms7TDk5PHz04bVVk09J
vgqg9WhxqvSG6gcxiTnKW3pSNccb5fOALFKP+h+hjOO8A4WinDYFxRVZJhCNy0GgFbIgZuiYXabi
3ZSYW+dLeoIABDX38vopbRheXMWWRMZxpoDiTxKWvrSiS5/4S8823FWvxSuIqRBUKHiXIY1ysmj0
h3y4p0u9H0wSn02w13DYvmmQ3hVPQaE/QqA9OfMNFYvhCZIYk0Jti0WIfQHUcs9cv7KCrclHNmrj
WDbJhXzGS5TV7/NenTXpkrHkCavhBknTfj6AZzJHnrR3QWIdMr9Gom1CMjOjh16rn6awfcdlimTj
PWwtGCzWYb7FXOuRmNNFZmTqehwH1Rw4c913a+3QevJlBGSJlovdIGIuY/pQULL2vhD6kRg+FCuj
i7KDM8vQUDEHZ/r4h8HmD4oN8zhWIPg7uZq3sLlfMm9EtiWP1yNrvpcNDZ2mxtvHbXGbDVy/SmO8
aFF/mJdBLWw0i9l8U8lL2h7awqozzlp2ahIz35lV/TRAe+az2+JHNKvoMufIuIKV46b2Ua/3rtt/
kyI6/nH2OooOlxk4p3xk1JujqSTlgO4fO+EoQTBSld/jItIQZ6WAxFuWgmLurrHKVTKr+6d2ycz+
yHg1WrQV7GWtmB4imIGF/Z4aFVBzkOTMqeC+P8A2nxsy5Nzp466SzbPnMNScyKEI6vfQ5bua8/Fr
zbUpJivZFC96ml9at3zXJ/eUjuDwaQKElp8wdkr5vEvL5MRIK+Ajz7ElDqmXwuwLLp2fg1vkXqT7
pc19kRRte4lJ0wUrtg5avV+jilwkQr3aGSVmPSdEd/X90MAnd+f8EYaVI4ePvRxS78ZERc0MCVZS
qE7Xaxe5BtSrmgJOjqqlzH+IcV5i0ySsb/63r9fB61+XWCwIBsqcw8ZRr0g6Hojkrft2Z3j8YjGK
1aViu5Rx9jxMbDVBITnWQDMPDpVwse4mlkM/h6pUbsjzKHiXERUXy+v9cCJgunOo0ZiRsSfzGtRR
9R5ivCJkILsjBZb1Ux2aIv11vYKX/nym8+Y0FqeJEaEf0E2Qlfx5ci7t8ho0Vw3ZumeJtcPIptCx
a5dR3aznWy1vT9R5I50Jdh6zRUDEPNwb6xtrvm9IlAzLqJgTIPgHlnmmPlrWyLx7x+YpdoL3IKDQ
MFNSXoRl/SAQ38cBn7WZX0tP+nfMXB9gv7L4CK8PfPNsBOw+yI3O1/ePd/ysuwQCFZjqO+s0N+Ry
qCJSpAcc8Ct7vgCPnJ+9z93XKl6cIeZCzK/pWdaHNMIU90j1XhvGupiCDxuzDg/5yBBGIpu1BPkw
38YQTYvGrT51moKIQ9UxwgO1yjY2ScLIXZDyyflgBz9M4eAfkvq5EciB8j6GWTUelGlvorIMdr7E
INn0+n2rCLoUeD5Q/n938PmXnR34QPyydm0U/gsaV5agCUJ/MIJhVcgZZjdpx7jtHZ7Ez6DbBdVR
oxY9UuFQOQs7Y6NOdDbCkgMbzZ+31CJbrCqneTfhPXOii3KnARnKs3yLrlPduYDv1lDwbuNcJ9bg
OKhNCiiaHlpYbxNY0AuUQnjHhvBiZd62rRUmpDJYDwGuiHZw937LPF81YhMUEAjLhvwCnIlcjdqp
2YFdWfqoMp2cgXAo26VfNM8GQuhFzdpbtI1TLUwylkXutds+1t9CIiqWQsH/56JA+ZJDAgXLGq6i
OYW5rfx7w5jEzk/gb8Xqox5YH3pwZ3fFD/v5AOVxLXqt3SaCa0KZsgiFhPAUNuuiHJi/6eMbxyiC
z7jbzj3BZRgW7ynsukoySRRJ9yQQDUUGXNN5r4ujiZseV92pOhR1ezJ6Y0MwUMO02YivTUVYRf45
5ozAkNGxPlDQMVrhxu4ZS8ekyoQvAv6Z0fpWGEC1Z9Yp2ZOLgj3PzS1KVeqPNHX2QaPIXLaLeBXo
YbyyEJ6uumTcB/OltS3djYz9Q6cBa/Q1+DyZUCBukmgN4yok+ggWYD25j0NN/tlo33euuDQdqi/R
YlQprloIKND6lTuppvdOVj9dPjw0GYwqAHSLhi41VYWPcLclpjOnIQUpM1hIW+0bNtqEY2LhwrJe
BJaYQQEpHpSgfe8Qai1i1KMopW4KvYqWYaS8VYBSg5u668HX5hMEc0Za5z2Ggclg2EpOnRGf9Poh
1CFB9hK4mt/Mw1GxxBb1rorsEbAHVXl+g9Rvwh+OboJW8a/C7tcRSDILkw5EcHQKJHQxFOIT+YP2
kaOi07gALNswui8hgcmGmVHjUPmC++uWlp7uokghFaPnsErzz0IXkBfiYmOP2ilt+j1pzxuDKrHP
5HEsrWPs6sfC5GgS40S4t1rRz3vU+ng5kWGwkE644hfeQDAJlxlB5rJ/Q+J9Ypu712DRWa37SdYO
zCK3Mw65PUM12tfrjWjeubHmLSP4j4XFqdFkEfJnP2KIQMag9lDZ5MuGOVr5VvvSNUmSfJF8Rszq
MZbTDW8NF0/Wqaq8uyFPHqNK3CG8/gneKNROMknuIi5yImopxOjz+rL+imwoTn0luxV+/wDCPuun
3Ds2NSvCEE+gkxbTFLPawkvLbZ/3GK08uTeLgMswr64fL3k9V2ZY0lDWtHvCuEiXU/YFX+NXLfQn
giA/+4SbvDJVuvINxvdx+xCywlsfuUGjhpu06ZpDhuyicCu5hESiL0vKqPK9nCiyannWdM585Z30
SsFxSY2dO99OEQfOnSjqA9TLBSlA7jx9uj5ZjRbGaLELcsKusI+IVZKzYzUiorEZ836w97dgqLuE
w9x3FWEFbFEMZhf20KAUEjT4I03yIzARmEdr88gFTawe1h+lP5+A0U8MEPKPkDAPs98ytD/nrqcz
X0jiwD5dR0SmW5BxSKXlivR9/k9MECevlV8f0vLPGbdAo6O7opuITATFoUQhod6SjlJI+jwR3fvR
ewgeVvceOXwcd7RPFcV0nHXHwKGX9v84O7PmtpFtS/+XfscJjJlARPcLQRKkqHmwZL8gJNvCPM/4
9fdLVkXcslxt9e2I83BcskUSBDJ37r3Wt+JR+xmXODXhj+A9eVdXCsks+ZyzBEyRKqCcQUtfNSGs
angGdDEY8VtsBohLHvN+Rus7v480R4h2vG7WfN/r7PaaRwEcTWvsa3sDcC37txeUeHxooHFKYprw
5hpUg8xtr6N5qnZQgHVz4SSc8g/PU1njVSGP1Yb/klJSuxH1aqR95QhyMdKbY1xVGuKRCBimY7gO
gaZkW6IFpn62FP5xV3U0dGrwwR32bHXZek0ctOyi93h/+M7cvyodd4oWv5Hy6rz7l9XkwD6IAwLc
uH1xbvLtksjRfYsHyIhfIxC/9VJcxoYGtLqJjb/ecLE4x9QUtyYk5tbKj24+sUePlI+qvsC2Scsv
bvYuJYTjonUDFvOGbmtloH6nNVa3FTWfrqu8x6QV1wA22aMtVYa5RF61YAQLZu5an/DaZCVNwHI3
g/ak0zDdcu916KPTE4Koo5T5fd9BhB2KkWN6ZgLQb2TLXyYkx8jy17YbUINR10KcbDa6UT+QkAVg
M4JoSgxU0YzjPjLmPT57skyW+K2Z21uXiOhjZvdUKHjFTDW4TrLuhT7hy+JSTjjL15kQxkZwdMFl
fA0WhYNJ/rQQplJqnMnCcMouungSfvXVkTwfQnU3zIJVYBxxIwm5w9CxbFIsityyPITpxJKURBUG
mRbYPg/p0VzFjxTqiJ9HRkDsQncE2+TTHsBHFr9HffcCKLffdaXD9CCkDWxYu78ehDIn8qK7V8fa
cvR+LMQ+pq5lHWp6g6HNaCLiSIYn1d1QmzzNagCnjsPnUelzgnafLtqcHOtkejYBMwWqdenltKfs
GHvhjLPaybZRwZm6v4/qV5LHcJCrESuZwoHtZpeVmT6C3dimc3VlAUsKVQs8UvPP8xIUI9iRJUv2
2L4sWPM2Rr0+llZ/Odw6Y/5squ8CRzn9uNx41EuE5gS/sbBpR6obFHhsQrMkZ1pSLCdaD11P1exj
CaqqFsZTbC+7Lst/GrG49GyVAqVP5K6xI6C2RvSfLCcMWxCSeSH2y5CRfOR3qIxOnstPwvbY68zs
k9rdtUSE+WuYJJu0mS/WmEp6SZtHV7cuB20geKkWFD0oKTh1xO/Qo9+p5ph3ueTFTgRhqrZSRQdM
YGnB36od5vUlqgmNq7kfzsXRoI4gs4d1mq0W4hAnELcdn207mF223ZxzAdgIcHn7c79HK9M30uM4
PvGAN9C0N5PV3sjBuRDIyDfwjO7dGQq1x4OX2temme6aaLkaMnbfc4ssFScYgF/VqHwceHc67y50
0iszmfdzaWVbqYlrsB9YQq0rR43ik2K+Vu/53CiTEWsbvv6RLgv2rtTIbkSA3b/epzNOnkpsI4xW
ZJGjYsWdj8M6nrmmXBOUH9mOHgYWO21/vkpywkSYWRX6YZMekuY+qk6vlrJe0qY8dIZ5QzNGPXUl
ySI9o1QyBgNnYKsKR/nY45Xsp4vz7qybnGS6gW9XFMa2iuzdeXXzgAVvY/bBzwZFv4+JIMY5EqAb
w35ayR+mamWv01yi2natx4mabzeIPPeR3d/bzKy8ZN2hTH6cO4TiKDvxMK9ms3HC/FSi8PeX2URy
n5/+/Kb+ZSCK3IS3xVDlrKL69T0V7DVWX2p9gIFoK9+sBrp7Rq/dn4bisbHra624//94RR5jAVTm
X9RSbl+bDmKtPlgNwixwjuI+1ekP2eZ7A2Gbs/OwW3oIYX9+2X9RaTHxJYOcWSCZ5JZUQ7x/zGGb
so0sRMt9kN2HcwHpK+F21Hv3MZ/TAu3023neg6wRKWzIWZ0SrlrpZ03uIzJ47GDqtKDKCche2bYq
p23V6ME402WX7WWHoXsD2J21SjN2YXFnf/JFGf8yolcCONJLmYgyJv8Ao5mqQiNGpx4CsA7fsmhA
IzpPx5Z+XXCu87Wa1l8NC4Kw6NO4hN3Fny+gujs/zISZX0tDWjDh5G+vP5gD3hNO1IEd8qhFKT1N
NYWAtEQ/eSSsxzbpaDj2XaJa9X9+bW6Mf3t1BDY6yEUIseID7mlMR0nE8gI6g12sT829VpWnzFL9
qb5/IVyHswaPujnL6/MqchaJOHp9QFnH4ckwyOUgkoZmJKm9BIRGO8fLSYoksyTPk/ciMo5UEJhG
6PecZy5YMmgye/VbohGhxHo6SF3bqQ4eNdXtkIb7ppi/aDC307AnlK1+BYeAhk9V3GpusFzMKxlz
SX0c1SqKk2j0F/pMub1+wehxd+5vmX30RBQTPJD4/TzqAHj4g0PbM/h4zClD6GflcGQEBI6mYI1X
gjzkTS91B9lYH4PWRtXU2PMBcNOPIdZvCntGSIP3ZDMkOMUtiNVZH9W+m+p7k6Gt65QM7ylshowR
tVa/hg4oeMgavaVWdaYzKBQMzD8cJDqd+uk8mZE2U64m91nASdHKU9xZ+rfB/SHUjh6POsoF7bHE
ngkFn2bhHDMlCxmjbxJoHpPJpMTVHMar2feMVInPHuzflSOOwy2JT8h0iemQHzQdA6p4ASOgC9yE
7CJ1uKD/cTkRwLlYd6rZr5cjFlqbz8dhdQP26H1o3BuCJDIN/bzrXKty31PCx8HMfiyFeQhBD+dV
cml700sh+Ebr+DOl0RmC9+vzBLjSdBz2AYQM2M1+XY/IxKuXSEZdUHijqQQvXDgmLdBAXtIxXjZr
ya2o3qzqcNg9IPKUIysOrH2oCc4t3Dqr2YJhb63tebAOo5Oeila90Pd7B+gcJta+m8ZvJKyafk7S
DU4k1AC0J7M2eY8N1rSEEfJ5cVOt0LWXR9XFN730HSc0KpWHYo2/x4O7r2ubXs9ExjKnZD9secBV
n4+0WkpTm9mDtl5gBUdGr6YvTSruk9h+EJmqA1BsTW5xMJf5uYDY1zG3RTZ+pUSU5cjxIgLLSBA8
FrviaEovENqK0Z8q6c9LyFlC+ev1BikLOgy1sAfW4qNK1zPGGRwIpBLy/JBDDkSOphwd1MRqIgSL
qfD6Jo05qPWYNAAKvQFi+wZ30XUk+QfqChFgsEszbDCLKrIIBCc7URXGBsXguTEQNvVLKQV3oAIZ
pEbMdqbOeaYJLSlG8tgWxSVMsdMiQlauqgVJSkaOmrJgB/qidd59nvNF/fmjn8GDHz86hyYmaw7K
E0e3fr3VhrFHYNOOKAyFGvW1PP/6F7tRCaPcBOr+oi248qmgcHI6jtX0OItYb7waPEhbvP/5/fy+
lksHxBhAW/TciuP269uBlFOJSERNgOX80lRgS5Pbzuhpdv/5hc6/6cMHlyibgeWhI4Xj8WHPR5UT
EnKa1cFa37k0qBvibBF78EB76pw8TzxiIARN2rt7Xae1kjruezP2r1Jy6oaVz+xEHW6tCQFUy/sc
iP4NE8evBoYLio5u0oJMs/4EDh8AhFvXvizQMmq1/hATGwZ65rKI50fVEKpUC0XNWxj6X55HK3op
j0rm6kWc5agY70LDenfDdP7kOvzbDYCUEYkpcDnHYfv59YpjqYYuusZQaSRHKq+K3lDH0x9H06cW
SJJn2cNVH6ahNw6i+0GdAgB5lZuhid+Xwv0EKPh71Sml4SCyBJZp/66Yz82hg25g1EGbM4upFuuy
ippHx2S2XEqi9GhPTUQOfnI3/F5B4fJjXo/WFpqDdD/W35XRu7ow62DBurTNQxQ1dcJ3dG5fzOub
YwzXlmSupC8tBmtPdRfspxLIbC7bh3CQ3y3XZAo7TI8dIgNWu9lLDiMPb1oKhizrl6YoQUQRM9Z+
sQujJC+Rlpizrt/X8fLcT6gjVDRUuN/c1fluKrGJWYvAHItnr5u/0qk18Z/Tl4/HTz78v6iM+fCO
0vRKwS75UcreOrBVupk1AJY6dS+9Ff0nNi6XCDKdvvF7318Kl1CbcBCI6DhdM/PUt6Oef6LzPOM/
Pz6TaE25H9FEgrD88PTnnERw0JlVcJ6WnWstu6I/Du57O0JvIb1r5pmJ9mlXXaVFMe5rj2RRhUfQ
2W6w7fO9sGy58/A0gBpw+573qTqf4CLvzgOws1TCKr8ZxjWYITp4OZMxmumNBy+BJBB/Vbd2OHDM
6zPaT9M3B2s7LdDwETPGG+7GMY5+jj06iGbRdmc5fIIAnPzkbEuOw4scxVGr5eO5gVsqnQ7JYWbe
3fS96frnDRfyM22G/s51HvKc/pStx9/zcXwuQJT5i1780DOZ+1lDcdaOY0lHnCBQfKS+TL9ADGO6
1bG9FAYjYCNkeGuPx9pgZ4myxlIsjvc8JgubkZwdTl5AKkYC9f6g97CJcCf/tbIpdYm3RE/xaqAL
yt4NdnYt6u6s6VGbiM/MRpSkM/uNpdx3IAvTDT++hYt1u64cZT55/n73yXDvWTZuGZS+OmaHX1eh
2iVwuaWUDCz32M0WaTD04yygNVuHXlJrcQ4v7PbFdAgfotY5T2xT7Pq7ASLFZm17nz2OySdFCl1u
nsQIlonJ9zcgW9pxJYTEPzNQk4YDcTdjfqnkjbi9s4uyr29ny6VbrWhASVEau0VvnzqdFgSDwTfb
o25NiR3bOsP6kA2Gf5Ydlh6/GHMlrUNz38azw5G9YGJRMbUJjeHpzxfoX5Zpl+2Q5gAWEChazod9
uo1sa+oZPgSlpCuCFxpdcOdGQVqHOCw8WqkYAaMW0mu3SuNuRrRGYB4GzpAMah6NZgwPf35Lyj/1
4dTnmrjwLHwpeISMj4Ycj2ktbCYmlvAy3S3nUhLv1WEAyIg9oT9wIu1qXvsLLW7e3JyBN/g8Usay
lMkm3GUqCINo0ebZWC9lAyOp1fmW2RXEpiXj+qySmDVG1ANCOHyS15jCOa6VHvIfrCeFE36L1grg
l80UJKOJiM+7Z7gvDqVsX9JM85NK99WpPInGl76iiYjmQnRIPYR7GCbypEQ+X51HN9PaAqWf0+Mq
RlLMKhI5ply/XxzUjUhxOe21QvWimEUWjG7aGV3HgqXLFwMzwRzQrWa4HBqm+NhVyHqahqhLlZmG
Hv+izIjj8ZyFmxInJmKnR8tCSKYz9/CSIkOeisU5X6tVpXswPRQz9SGpAYg3saIUtX2pj3bQTesn
bQPr375AOi2u4QFeATykTk//aHuMDW3mdIqroM4Y1I/c5kqSwDnR3VoG7bbUjfJNmMsGSAopsCjS
Zc3slUVqTahcBd6X1iRCZ5AICIfbs9BlZbLpx7nD1Zpj/zzPWU0KSRQCvq760lVToOzM++f8KVqo
I0th15jYs09q+t/LCNcUlLUss+T3/dZQG3p6Hrhhq0Bz7QBII+JiFue12qHSZn1XpXmO+uTPj8RH
wr8reSA4stHEs6modfmhmIqBwpGeRiNEJ0sWOE6yFR7NkGm1fyTFikyAorJw3bcCmE02UGujQEe3
S1p5Q2IAjzUnDtUnaUL5zcwWVEvmnSu7l/MPvHomgFkG9WzcMZv9bA3+rYt0fvMOyzDri/L3qDX6
H7cDdK801ZCWBa03PchIXGTNpTN13JEUs6TUnKyhurUG+6anlf/nC/dx+eel1fKGv8gCCw9R+deX
brPa6RA9ZVQgHKxU7b9o1P42PXQy7tiq/vxyf61N/6w0wChDypZ4UrHVEWf64dYHiFuJtU1iZZkA
qOzYHDy1OfeXakRQZ7dyO9tMvwsm2DXeAl0HUU8jC4fO3OySMmJQBktwH7XoTKtj4kzhwXPI0I0g
kqHl5HAXJ4iTtKExAmuRjJ66eBd3NHmQQH3vMm+E0dUzSTaZXCikR0xWME5CtB4CpQpWcmZnaY5Q
ZB0fe2kGkzC+dVmknYxDaaUMgGFh8eQVb8naEyVImF2LW3FDcrtQGo27dpgw7s/D16qeCEDzXgZo
rIfCelloh+9Hg/eq2yp4K7LrAwkY3I9F/9yb3biV6P98zoSERXdoSCIHbRAqi123KPo+Fnkna3aL
g7Zg7r5H8m3Rm6867ZzdSNolI0sVs5DdQFXh2uGQc6UVSNh54G8aukGwdXWBkhVnx4VoNHI15+7K
TBeHeUV+BxcGOEd8VwhzQfxArFHpusgWhrfZW5/jIn2ho4V2iKXT0190+o00NnPwz71zORklrT/v
qlvjZ5tc6YIyHjHMWPq13eY7Fvzet026t465GeI+2eMArk+9RQR7IoCjj/qRPFyWcq0MULnUlFne
y6rGiYlbBEXexVucN2B0Cb9tYhjNHJNE0ZT7djUO8OXbYDWrdMd0Fq2KziGeCqJEsxrjOCzh95FP
EKRhbW5cZ664Tl1x8uYHrQ4jhAUPdW/fRHFikhi9j5wkvHDpdiDtgHA3NL2x1RqdCGBHO5pgW/g/
FmnPMZfvz0/GudXx64Phcg4ysUyzIeh0xH99Er0Ip6GWe+7eWIkoWCvTo+7ncEppese9xSm10+0d
uyEGFh3n0hJnPsZEIXzLjbT9mOc/MG3cWeti7wSjQj4FIKAqs7dLm/y8d9lmTmYzJFuZ3qTDKIhG
yzarhhA+yePv2pTmfu6Uby4qjw3lhWDLoXqzCholRYyywk0RMxH8u/TWFhxTuV8zxXTUtRPkuWWn
86Zdo5Ow5izw0F7b7JqQX+XVk+2nFbkcsfmY9uIJ5PcLmFN+zGlwqwdTYnXHnArdc6b7kFPxTq/Y
h0VU/M8iELjbTRY4VleMhGwSH3PMwr42HKvJ3H3crkFLM4/D/WfL28eN/fwaUrr0UnSETPqHL7Gh
GqXxGbn7qZsuC0U3r0YGcAtqgk3uyHvLFT8dOCC1p32ziGKgN4f268930m+nSt4EG6FNRU9jgXX9
w3YSaa5IRdzKvRdBOY+XCp1X5LV4imFUg/E5QGW6g5X16lpuCDtkWgPMAtuqJaoQCd5nfm3z4xEf
IbM63MIKEjjtGJX8emcvDbzStKjIvBe1tq+LJ142JGxS23sr2hQOdCnJ337kkOBGUgdN4GVE/Nhf
ZrN73xkVdWNZ0OH0wNRDw90VmZVvBWmhNPrn/Z8vnvjXN8sww6QFgrf8XHv/Yy/OtLWVZquJvcBn
CoekeB6XpjtMmrY1OZAAvcxSxGY6ZRZu65NRGTpZO+U2bwBnTfGS3qDW59G9m8lju15CJ9vUeawF
1iSQww3hA5CM1h/D1PbXcnmwoANqmVwJI0c52hpIsWAVNH17NIiP3ITK7DvtUwMh9STXAy4Ya1No
0dfBYCVHdNEC8al2wzwE2Liau8G4nbitjtBdtkUc5wdc2BHZF7rroyfaGM1cH7hFLypnWW/NtbyB
C0eHnXkwAdcQeufSSAI9JWevqMqbNikNJsScYv98kd2P0wHJeROAh7As2NUWVeKHOyLphd1QydGv
IfmUSPKbZQLPNzjYWfQ6wqMOiWXj1q95iP37fH1kZWwbapUryEcuIqMw20ivfe9i/vYM19svo/pL
GDNSytXFIpBzpVKYn4Aw3We51wepzhAqdreySrVtPXes/8W7XXMwmlfzvVit13b2yq02okGsiPA2
RxN8DVpxqz9lZmHtkB/AdFmoYSVD+3VV5q18vHT06rtbdE6wXtGnZZzVJ1DUMUxojmpg19FXzD/j
BrDiuinMSo0t+vuhOja9Sbxoba7bUIg7VDLYucDpg2h+XIa8O1gwsDcd2liAmd97dBlbV916s+M9
NhOlk1zDr8tag0jDuk9uDUKEtIbV3sIFAFgsKcIvWwjSiP2r54ykMLDhGP/dRPtk53J+e2T4NrGl
mvRyGaBbH5tHQOnCZE16AmEJ4qSLcpEOGnFC6XiZRNNDAW2O/pllbkPOWFnD3Z+AMfDNnsvTZ5Hu
F9z7GwDPEq9lzidkWylB5/i5R+cF8S9KYqf7MS5wpfPqCmBitauk71UGGZ+c+9ZxftFXbz1lkWsc
ZhOwqcAnloA03pZN5Fxb+Qno67TnlnyHy/lKj0tnyIzprNRGezOImxBn/743eWsieUKzeqNVIQmx
OJM3Y2IhGF34DH9+Bn4v+lXPxZA202+Wx9+K/mVOYuQdXDVCgN4zlJS5LrHuLjNBm5iVaKADLddf
DARV5AeQBPzJ6//Wh+chpFhxHTXuMj35MRKIEWxh6kPPshwN956XHa0E8mqaTIesL/Rd1hb5xgyj
Dgl4afi1hAI1auH3ODPbwyD712YFN6lFM0d9V910EncapKpmLsGrtMVX8E/JBtIRB0BIaXjBxmdm
NZdTJK7C1en2RjLgYr7Q6vZmrDPUs+eFMe1fsjS+Ben7ykRi3TYIj9AwNZdtymYVtUnmq1kYJ8D3
WUzOvscv7pvjq0MmOYHqNaSgmnvIZEybzuLLXBtUxWQn06ykrO2Pg8V+TF2FcR49s5nP2KI6Xeyy
yCJnoWavTBeLEJL5Nuvr9NZVc+leC7eAPVBwYq1gFoTLNZ9eiO4FNCCc68w2oA2MgBbyot5VCZwG
LSH33M5vjBS1D0mCd71bdgeSjI71Io2taJG82wKFe5aMr3kfGweDSJgY9NFJ9TQBKaR7K9cEkkPz
1KlPLlzBB8DnTKs7G3csOBuZhN/JGkh43tXObTp4cUxpMCO2LhJUF/u2kHCXpjkwJgtxGeVuQbom
iLMW/oZT7BytXEi6I1g41XR85cMowdfOew/M274t9W8N2XaBGPQWdL+z+E5rU8hrZY0Ej/82DvG6
m0MqtzwMIi/82Y0Uoo1gjcMMcTV7Eu0X/oFL0dIrA2KJ7t3u8LVqkRWYMyrgfsrYOV3zs7nixx4E
tzaPFK1lxS5QZcev+0snRJ4VWJP3LlNRPyVhbB/dcSfTxsspre1qC0k3/eSJcn87S9sGkwoKHMtx
qXfOddk/SocUCLtgsuXsRzMuDsvUf8k8PrfpkQSfzETWw9vNJVKjIsng+LddtSlsdhvconm51LtU
WRM0d74q5hWcQ4s4quoQmINdvVvWJj5F4Ds2FQB7jCCGco8HrQpnT2MCeYaaAOsKjiwIOFBECd/H
dgU/DxS93UflnLAV4ZyNwQvgOCu/GwdydSiw9inhwlsVlwPliGXTquZbJFiEWc5ODDAXhkicyivP
wJh4XrEDothp+xXt67zEhm+Y9sM0Wi+1BZC2OC6eRJaZ/KBlSk4JAA1nHtwgxCFCm5IgpDi3QLkn
UL7olO/Kxr3FDciNTXNnF4rs2Ebo373cRiCe4y0mpI0zSnmrewQsxOPAWZbGP4jd6jBmJThGizVT
T3Kyr/XitnFomyXaXHxSr/xGYqKYNhhQAfk36Lk6HxuuzMyLVlsrZ29ntg9lnFKFCea+HCmezDRS
Ebs/10Yc12Ut9gBi0JV2xoWdTZ+8EfNMLfjllEhzy+GeNmgcovjxPtT2Lhakxowiew9L39oli4d4
BTbrbsoydxOuXbbJ6F6AREaGmLrkFw0uD6KdkHwpN2NrwAuswCt23B1qA9oaVJxVwfcopzL1rzpn
Dv2Z5iTNZL75tA+f9ZHVR6/s1jfC+sF12nxbNwVfPEmaXTG8ijJK9/QsWJJaoJsuodv40Y+rA6uY
S9r67bQXEdfFKavXRd0yjc2WboruMjFZWOEt7wcVTaxW0VT0DLlMXIVhce/16cBptdnHhs0xnD5m
BaicTrF75Q61tZuJg+EA4cbfTTozFF7FA7S8L0NJ4Wxi5tlpmK/9yRpeBnSYp+yOUQ20rmEuKB7a
x05JIyuN8YSnPcq254QxkhKQUVOvQ2xuYrg6lFFMJItJMISxqgetyMGH5TONsvE0zwwTZas9OBON
1awQyP7JiNYRW3Q1nCBQj7uxZMo8/oBvXYN8yHWCjeGrenBu6WlTU9YFJR0PJh1sNP5+52IATDbm
zpvNY25E7qZNcJ3SA/flXBOAoWy/hclhqHMxja52uc1G9oXGFOGWfhkVktamBlVM1KLZs03oE0m9
lUsc+cN6a+XLso+05i5JMm2vW+0BJItEhkLVNRQaBHg92htI3Qlvc5E5MY2S8LyQo1uYF0n0IEVH
28uM2Pli2seFAJDQWi9j8SAzaqfOgPOv84hTV1nsMl13WFqVAxJaP1bGvziemCMkoLs27tu4y2u6
YI1wUAD3MwhUQRQjoPaA6dt4IZL+2LfRHeeXG5bzTaKL+ODg7PEE6X1G3N21jey3RlQIP0RNhdHg
re9RYA34oDthrVtCTQDz6/qlqToWkVxPcWEsuxXNoT/OFjoH44IvG+W2uvLn5aapwHu3bd/4owbi
PapIz2vG7t32Ir6quLBRnpg2/ZCER2+yadiXJFZUVo4idrF9wo5uoyhqd2bivcMI+qKL+qoHL7mN
xnzdmrInO4TbSW/MZZ8u2NuaXAP9SgeABgl8dLDPnhg49WVS4cT0m3MzrPY4z3CxqZs5A4HEFrsk
5g2d68H/EfnwKvneksn43v9v9c++VzWdIXD15xjm//4Tin3+98e/8n/9Rb/8XvKd/357Ckn4yx92
ILv65W742S73P7sh/+s9EA2t/ub/6w//Drj+JBzb0JEdUP/+o3z+jZD42Cb10L7+k4b43//sbxyi
+R8LVpPaJ850HMkg9W8covEfOkF0ulldBCW/6uyRLdrH/+d/mfZ/HAdBnkejwXaFZfKjv3GIpvkf
z/TYcijROZ7rtJI+xGH/KR4bzR0lzz83DgVkBOHHoVog8yUp+9eSKGJ82tKQHw4puWhmM72MWAbJ
y/uW6JTpba0/Lrq9aUpx1Ut8spEGXXXE0xans7ZlEn1q6vhiOhmSY2zqui/pkmNe7uyrySB8IOon
miX2OGyJ9dp4LHRMxHcafyasIN70lvEjoi1YNncZUzhYQQOzUcM7FdNrdO+ZxLO6YmxPbE3wyH9S
ljCKZJkWXkX/fj3qYXKTm3PA1ox1LJuHTbJedHqxT0xC8Tq3f0qGkmZk+Fq45Vc48McuWeIduZh3
qXzSCwptfZFflsU54fneW1p534mJ89VcP4xLwfQAsXNlftMj662dwx2tzR92ZHFybBkQxoz7FyGf
vYnNyZEzvW1m3WSWOWKc0bIeHFYLgDYATPRKH+hWaeWpisZvSZcfKBsuJ/bCU1tBUCMYgH1hU4jo
NjK+MZ1qth1plhuT0GGGBjExTMY1fAJxYeOejMhLjrWhOiQ9n0425nGSOlYKMSeHpEFLqWNAdUf6
Cloa7+xMm7b5aN+neo/txEuGI7VCfdcaBuiY4eDW074YmQ8ScVYdGOgybTqForrKo6z1ZyyJm1V2
fKnEcIDAzG7TeSZ4SicDCKL9FqJ0vck1jElNa5Mc4CXHqUoYRsrozvPWAoI2zg1gZkxbTX2DtHDY
mVnW+Ia1smoL64j6AB13EkGRgUQsyilI0DluGjKVoFLYQI2nqzpOyZp8wi6pX8LvNK44pU1bwM+l
v5AohzjIwl9AZxrIA4bTMLG33qwdE4HNUzV9aYctgHUTb0NsQQ6qgnDCNefUhTioJ89gI1PSDWjI
tFtZM7WOyoxhaV7nR7L33sbasAPsPHsZubeJXC/CqTi1FPWAI/Kbri9ajogxGKkRRPFikCQsMvJs
4qYJcKzQwmzN+5wcvxmWkVWsjU/YxrM3pNcFnC4vb/zaTYagFGB48ox90m6+mL32rVpjXMZG5ypk
sF/ilOfbxfk21ZDSzbjF2ZkDdJEXRllpfBFkHRh0s/0wFxcS2k6FyDM1FKmvZuOI1+UiDeW+zkrw
GkL77rJ1+VNEiZTTn6SpEPuGXrm+6aC9GAQiBTzwA3wqBiaNm0GVEWUe9E7yREbhdnJIZ+7WHxl1
18YtOe4jyrsfod/7NGSVxdeK+ULjZ6nqr47NlV2LehS8VlK6t8IbTkWnX9pNNuyICe3R+XCjLQi4
iTl4d9Ih3aXliPUyDmTlIQ+KeLOIZpsiubIbSJd0jdZ4HC9DEgQuR1cOlyT0EHfXha3qA76NhX5R
SdH5aVvRGZRUFQMIP0AXNekl8SGR+WMixCMziU1CxNWR2K8XqRE+aI/2kdQjgrlCSC1py3KH+OzV
FLkIjPUntu7XWgLrQlTA6oAzaupj1+8n772y3WDNPGsnQlQwHGUieA8R8Pqw/ilp+hKnt9Kmgx3f
yTTI0x4pjb5cC2k16NZbySlutQ9T2UOCr5uLGdTP6lwVTjVThA6PsGkalEPoIkki+7LSRakYMz6H
HXilrmQhTdrubkQJoREhgnj3ZNGp4l9bW9jVNPkKvqr0hXX8zYi8bA8icN7X5vRT6x8c4d6Pi/e4
zultaRGZkmCUsjxiTcL0MMa22FiQ8LdhFVoXLcOMYx6+Ra1IgjaqxT6cXSPI2iglKAbESMcyrBPc
FEwc6W/E5M7b1k69J6BhDcNrUXwXQ78PzV5cZtoY7hKzvG9Xp/XDuOv3kchjzGEpmXUa11/X5m1m
KqMv9mS+GjagLMbCyMnPhizaa8CJ9HIa91mCTJ5OwkNFhNWxJWvcwvK5zcuaE8fgJvsm5XiMrNAn
tyrI2zkLkhUceB7HbPReFzTJdRPWyZWVEfLktdNVVDMLc7l1dm1v+8LKBwAzpPXMxle27QSxG9gX
WPkY/2rGo6gGv8xG+BSlcRKYBsU8MX/5funFXZ6m00XXu8dyXr70tngCqR1uJg/g+Zw/ztwS1+hs
HjPirzh7TCd0iJ0f0tCHUtcHonTzy3Yxdn1vvBCqZ59q0AH+MA7VDitWmNEHg78YXTSRddBsu7kT
LeyBuEMQQwPAvgR9dahd5A0100RgZ9XFELY/XXIj1U1xPRHKtKlWtEpcIOJVnZ3WkkuHgxyhyATm
Ppqlt9XKwoEDwPmpSR6bWH7tO3EBDXchbRkXmN0c62jej4S8+uBe142ulTaRv9U3PVnvJgOaiOUk
bErxALBLCTplv7AVVOLJqy467bA6DJRX/Xhd6zXmuriMkQITEm5U6c1IJNg+Wda7CAjQVBg/QK7S
VsT/4g+efqEWRN2jJd6F0s8Mi/g+LcJH4GoPWpmhsJuNh2FJ6UqQVrH2kP5H131IdHva4UFXQvE6
ZTyNDtxo2TpwUlXQWsxgcKzxqu3s2+XM6lBaBMuwH+iMSjb4etOmdn5yEieEhQJEQo+nbRt3FoRA
/pKReXiiOcLKpL8FMdP5CHoNtKfTAeFvcRE58TaiiNiuJuJ2YlEsqvB7Oy7gupgVqTnMOghhiHaZ
LG5nLsoFxBg7KZMgS7qGuAXE+CajhZ1Zxz/qEqp+acT2po1mqFDzVWzQWq9XZ1N3863nZlpAQB3X
LFntkzUOu7wy3D1EL8BjzXSvxamxlzasqxqXYmCAeKF99D4U6fNIMoTyO0KLcTUaUJEzXXvdtaaZ
3Qnwg7Mvk2YCn09BKKHz63nZbqkn0EsQ+xL0vUtvzWBZdSWJXpL+SE2NMsjmODjrDRVrvtVMmCfN
YP7su5IsnTHdTiiT/ou9M2uS20iv6C8CjS2xvFYBtVdXb2Sz+YJoNkmsCSCxA7/eB5RkSxrNOGQ/
OeyIkRQMDpvVXYVc7nfvuUf6XMm3YYyYNevMbHUN1rBGzmb5mVNac0fqnG21SDdyyqOAgQxtZyXk
A0XLnzUY0ISpYNwas0flUpIdh6yQm5bMBp5AAdCzdfiI6P1F819VRFUMTVNzIHQ+JkpJfzMZ8zOf
gd1QUks8juV9O8cNOLxyrTX+2qcU0cp2drfmNbXjZKda64UKeTy6mMuWiVexxHzTHfBNZUd7ek7j
vZb1t0LjtKMv6sH0SiOIlUN4dXLe8lyEKc0iHjhJhnjdPsGcFdR1F9RCPPb50h/yCNkQZwwW58a8
Mll5nByeTKWHi1Vifs8AQsd+uu/s+S2zGWC12fDRw8gZ9JAyGJv1H0szvXgzpgEaYpsjRZMiQIn9
NFU7vYV5rlagh69zVoXrAC5KBfNSPVljvlPFK9AVjo9t9uJn1nzIXbpph7jJt/YwBGlRuEwaCYMO
wj92mhJBpHVyzzNttjsbywHqM08+DU6e9qpJ5ULUxW5NiS/SYmlSASq+U580byxD2gFzgG+ycd4F
IHakFCSsdkQVdaX1TPHrqbOsl3zIxm0bDXFoNk9xoEgLb2SEq6Eqo0+6TYkGJeLPlaCUtRBWiEvq
rbHr783G6ZApB5Q0ag3Kw8IYdS2NjjApzzG7nNmKF0x39DNMydnCf7Wl2b7cpq1vnwnUIIIhFXsF
o3yrUqFRy+WSDc4h4gBg5wwIOv+iiMFuFfCFC4YFwByAdZgo13uzvC+aQ0foPDBr7wcV1Vc5wh1N
y+G78LqjtupopncbmIwSQMfnlZE/90nCwsuh3OasJyg3eJfuiPujxUi68FysFAPP9kZo2WPmlMuO
6i1gwIB6ikM3CuKZfkcXULGpydmEyoQM3jPhpMEFW71RwvqEVJHxpFEgAhcCs0Vx5C99pctsYynD
2qYw4ZRff2My/VUnNL6hx+tJiZxkRAWVVy2MJ70XL+41Vh7rqunVrq8QnDyCLMEyp0d3ik7EKr5l
XIaW6I5eRBM/kreCvddsn3Obk71u+h/7+iR87UBRXBtYQ4wrRzIJymK6vHL9Fd0eEMXQjuEisQMJ
rX8ywO1tlljbswo/aML4VJhuEvJz/77C90tA6EtfJwHgwnvDT08VDUlh281y42rl9xgj3+S1d8bE
bHlmO8Aj6Zkbs8gQEVtW0YXAP+Fo+oyqZWB1Vo8ir7o7xkG0qdA7khFeNMqPWUX/Wyw56Thre9Qd
3Ydq65fla2aSTaozdevH7KDPZbjqfnkvz5VWhXNpHkZbfDMaX2wqrQmiDtFwIKb399Wb/4ku8we5
539RuwUqDCOtdbT5b7+pI/8g3gT/UW4BqeVPEs6vf/gXCcdFcjGIIa9DWUxYP+MYv0g4rv4B+xCT
JGyL1NsxXPpPCUf/wO+4dEgj76xhR17LbxKO/sHC4kB1A44uLG2W/XcknJ+miN8pOKsfxbJRkPif
bYBC/5OCUzeaGu3SsEMqin70rnO3As5rh6BLVLPTZEZYzFg3mdE+p7H5UC/Oq9vEe5A7CYVWG0OL
z1GygM9x9nUqdjQMhtkFI/6J5QMIQxFC8KTCVv+kTGuPpLrjTLHPlubQFFs/p4igqM8GE3Kihw6F
0RFjQyqvtrS9HmxVHHPH4jQq7oRj7dd6ARrc76g5W23gE9vmXPuhV6gnT6PwBYklcriwA2vN0YsK
Ct2KpzlG/5fLXkwOB5Tx6tbesY/lhUHDHc2jn2qMd3VX3hPGDut53hcS3RT29WxGz8tcePgj7Gf2
+kMzZjdJWnQDWIKDAHxkoD0DK0zx0MUuxooWKJMYvqzZZN3DsW6vwUHd3luRc1SECwikv2usahQb
Xuys+EVp5RFCn7z/5R37Q6/H+kb9wxvp6swn+UDxyVmlut/NCWfZmG2ia3ZYKBXEJXIQttt4VDfO
UjcGCsDt8PaB2AnJTWwH3p3fffz/4gXYqxn6Dy8Ac5qOPdvBC7eaAP40REqV71V0PURUPW0WCq8v
Xt/sJn0V9GhmXhvrb3aUO6SmlvtMEY0uU4IhBrKadCwKKTffZ85gu8VhLjHkVrpzjUiGwLQvExtf
r/KcE2SsHXVwpXJpyTWJQgb7cvwZc8XU7424Qi2096nAh1hF4hD51hleyxolivSwb833eQQJMkKp
7fV0v7TManj+XixlniN3unpZf4Zho04V5PVf7Pl/Swr/P7qY6q7lWr/7NP3FYvqtefulKegtpifo
8DaA0vvTqvrrV/l1VbU+cKP9z6Vzbbf4dVVd11ubOablCkar5uq1+00YZ+nEobCGEflcoVj/flHV
0dl13dZNTPiEBv/OovpXT8KavaNlh/gBIZ8/PopZ1pmTFRVROKI5CHgoqkLRtJOd0ZpBPtn73/2s
/uLJs/5klWLrQHs3wJ+tVimfX/7x74ulVkPPbqOQYSj34mgzYSYpppfWu0usR25yG4wYUC2QXJk2
e45g7gYKjV7NaANTFu3pxbd2DTUg9A1trfQZrMPVdeevifW54CglU8k4ERZASx16zGzWPPzr72D9
yf9h7fj5HWCsoHuXb4VN74/fAbJJ5eO9jpiHzWGXq6MYEMBye6dlt0kbn7Kn0XR3BlOwxSF3i5mF
VWLnofmBgAh0YG2CfIvDS2Rty/uXKK73gsEYUk8WcZtw+v9iZo6j8B9fsmdaHu5edk424z+9ZEk6
ETYCpcUtc929mdnHAXXhgvXni+Ye/KGtb1OCqttxbds0FE5S/kjSDe5Tg+7+OlXULU/OQs1lKWl/
A1+Y5SiHS1J+wXeWXj2nOVn1nqNdcVYeMQVDG0d0S7BLVJAWy3IizqVvrHL8YkYMBvOAuFI4VDYJ
p3GT4hJw2n2M0wF+Pmlm4n/dF0gtm66jBpYG3BUprugddT4bLl9mpjtcXHWlwZTIdjUz4MgfdtpX
k0QT0c7NjK/jTTgFQYqBWxC5aK4Z1fe4Bbe90uoovLcBKMlh2FIt+8gHLhh7LiLNNsnpJJi+Km75
I0g/9PRrOkx7knmbxRJbnzhRxSQc+hzTihgWmFEXdznhDHu0TjXV0KZ9gG6x1+P2pAn3EifOUZrq
yWiHWz25xwGSRS3svQcvtRiqPXGnyOLATHX82uinvOP6osrU3uuJ2Nq8YE/MoXQhyyZdACl/40fF
ZY7y0ByjjVYQirFcshDWgYp7yt6hbfWy260nkklcbZC8cjVRWogV66utXI4d/NWDHjNp4r/ly/qs
FIhfnk38lm8PU+AGo6jnya1Fm6nW4JyE/T3ZQYYm1vpQZLs7Xyxhz1TEa7/2Gg4FfDJuAp17Fltm
COPCz7MGkr/A0JWoVjASkVCpQ07lACtwDrPFDXyDv0izDg11EbR0bioUZDAdmHfAIEMSxRqd8D5z
etn5ouOSdTPU18k7efFNufGR6nO0bG878u0B6t5gDghr2wxa/0GjeVwHnqOlT1SVHLTmbq55ILP6
2PfoFXYwUMZh2199iPmJPVw9YLxl/K4cPhL1uLVt6sElUy8z2Xjcu9bviuzAVnruDnzUFrbNl3ZB
+SlG+90utU+0wHuIktEXWVeguGeN2ivcjC5JFDmXyVUY6mHkBrU3csFPOubxISdJvqavih1wBHcn
l6I9zkbFEKofxFEkERHfAV1dG35QhJglqMHeXiTlUWgyP5YkgfjR8k15U1QDPi/HbWZAItdsQ3wk
qEESMwkpT6AhzVx2pOEO7mhTRKuSj3W7o89t4OYL3HGuNRhXgjaGcW3eTn3CrG0SfZlmcjq0w17z
1n23kwEDYySbvZtKQkS1w2k46QTFJoFVI3lpZuTd+WgPOETq9giCB8if5jybGUuzl8/QMJ3WDTKM
UiQXvew0c1044b3ETxdpr5MzeQ+uyC/EhpyPdtlehdWWoUp4VP2Rg2olutfB946R3saXvn5JoLde
rN66DWOOv8cCEU38mAIWY7hqdhkjfNf/jVbEfzrS/999dbQ4+/7zq+MdZ5y1B/FP5xtujeuf+3Xw
Lz4Q4Cc4j/lvjTesd8NfB//Waglg4A5f7M/nG4fpPpVOnr+mrrkZ8od+uzWKDwbnc1Qajk3C5e/6
Wwec9YX9fsPG/Wg77NVcQ4F7Ad7gePf720bORKiy2iU+uoOyruSZHIqet3FaaC8WWnPgmED7awrl
X0qU/UUJg0sfgizjLDscMysKdW0+A1rQN8ZIrUChmfizU/+74eUxwCPzsdU5AlBj/G6JLIds6lZb
Y3KDnILZysrkewRRjawtLNs6kkcloeZUCTTwaDTDORPzAdcC3CrcWmEqne4o3Oh1GXOfoiN2Qa9S
b4veGPvWh/nK6jQmElwctMUSTeaoVriR5Qal8Oczp82N8NpzUWg7BiMf3QwantEck+VJHwschpl7
gLeA88bAPzuOxoEzw7ZpMEzGTXnyQm7gaJ9LK0Mt7eneWTAE1Tqh6CKGoWlFxKJyN0pDs6JhAc96
wjbDRIC7MZGxyE3dXZl1b/GSpxemr/3GNeJi29rsDnHUScIInnOwevgWRjJq9MgnxtmZgy61Go1y
HxvVFw+kr7vDySPNegK90x7qgaYnlS86K5SW31F/nZxbyuMpXYQlNbmMorr6UtZAFmPZpjdpcIyc
hvhbYtRh3Xfjk1GUdqDHU3TOiD5LJjdBatCt40a3XPK+9gySH6dSqg37xpIW/tEe6/U4gtQ1Ww4W
hR9Ok+60toJDjmMoyBv1zKngkqLUHvOy25Z1h5rq3NVTd6FIHQDy8MlXhBLrSu8AB1JoVPgONLI+
3jZt/kBtCiHRcwwSO2qJyIi6P3EQf7ahjeT9EMxpf47zS1mZ+Rl7EBwxRgkK+MCBTvpNl8wakE4q
NmrVfyujkUUvjdKzEQ00Bsq+D4m5g7Pv2KSrnC099+2cYSDRuV4SQLI+VTOfVENHEoSmr8ic3Mo5
MtgWkEFsZb/6Tt3vwHzlLzhsYdr3pTzL9Zd2DkGxy08IIgen07VTzuHcU9bJsxokWSYIUhDIIeol
qhnkjPdx5K0+291wdnQ8Ml6j6UEOQ3RXeem3mWPrDg2URuAme8TWca7sAr6i6Z78NL11czOGbXvu
PAeYYxLVQSPTH5lT50+CrAPRnB+ai6XHxWq/z1ASOFoURtDq+VvZYLHp3HzatMZrPrrOcZjLq4ZY
G9g9s5dcdbeq/RLLAqbHSrPsncQOK+FcEvFprgftcZSQvyG6q8NS9VecgWuxVGl8VHGPea1miFQ1
7blmEqbHD04Rx5+XksJGq09A7s6gWZJ0OJGk4vV0Osh14pQRHnxqExjDY0nli/RXCurVrmicrxnA
+6sJD2MDkzrdydygOcfr99RSMzBXOTUADSEaPJSbgf5l2tfGPZ648qr8RDvSvQhIeEwuikhJlYPa
sOwvRandJuOHSap39DLzPRIRcbxy70pmzy6+SRbBrttDhYx3Y4w+PzvQ27LSKC8c2trjUOFqBsR+
TmBq1n0V7cq2i9GS9BQ1GkvFlGtf5UwmLB+zeWuWF+n32oFDEtx/f4huWdnfYxB5BbfNvANe5Maw
3IfBrNKrxLVM6mATNUDmYd0kGHeS0zTN3rZ1hbaZ0vmznS9htHDQy+er0aj3QizFxrHawG5zqn1i
LdsT9ToY3XKYZP5UCE8caeLZOllU3SLqQy3KrXNyO3uDmUJWxO1GM0uS1mb2aUH/pmh59kMXxm5o
4eain+YtneKXsejzS9t29Z4yGkwicqr2SDDh6MWPjY7Fqcm7reDguU8xRTGN8lp+XuYOffJiD+V7
W+nYU4X60cYyaDpy9YYYp4eUXYqw8Ncc/tS2kMIFNUnwWi+dwGbwjiUz2QE4e9UW+X1w0KbsiiuH
Wmsj+iVsCKziL+VCQ3jHgDYi3aMhk6CrgHz1OMr4r5ezkVmawIOWUZ4QZ+OhmI2vNJTf+6KnoySF
M6bK6SGf9O9VsVLNqF8ncbg2JeBbPvqoZUfK3gmMyLzh/T/6Zj++zvn9PHn5x8mfvyz1aNy4aH4X
ZQJfGl/ce1Irh4+wpV/0ZCIiQwPHAdfD0W8882mG3nitELoc2q8YnWf6G75H6gN63X3IJN+hm7f5
IfZvRTaYNwBcNxja/r6FCXX6+a9F5DHLNn6KfGAEq4xC3Xx3wlOKeTVwG2RDHAxMHwr3Jc/y+dYi
kaG6lvoTKHq5ky7FhampjnwAjeOg1VPgJYv2xoQGO2357qxjGtnbQMjdzNsO5vJED4+HeR3aT2rI
mNFPo63W3eQhLcQUVp56XRYLtPg05/OGIz4j6KohtUA5IeY8BmyTwNbVZbJc2PakuOKjtQ8V3PZN
h/ec0sJvWjEN9Hem9pOmUXQnMIqdOQkrKkzxj5nKmE9YNhvJOsUbP0YLmRRr+Cowxm6hGPsq7p7K
Oa8Dk8zFYzvQCWAPkXGK6iE7txwqbiPbhFNz78TR43KToX+vAfZocNsRqu/uks5qgtkCnzekVXFu
fBKwwpuaL4wrH61q7J/ynCVUMif6ubdgU8jOccq/TI+UMwyAvDSnR7uSzllKBumxwe2WoE12ElMa
1gC0KvtNKysifXNeYALwLjYZupD1sbvJij4KJTCbWCv40Teb+ipsQkFsleVDPBch2LDph7+3EYuB
gKCZRj0pwggGAv7HfQ7vd5Nrmtq3Sr6CVgn5GGdH+naOU716YXyLtAuW+ke3YGrLQStLa/u50nFy
JN7ISmCU3LJ61fN4+lIe2gibioQIQgK4nB/qqr22o0pe+BBfbW0hWJik1rVwrGm3aLztETa6Db5d
96xS8gGyrDV2Kvg3MlHdFvmJjb3EWpQuDZegxts7C89LDuXs3OROvgeV+jBzLD7HLlf72iXRC7V8
eWgdKguswSKVAARgJxpaABY5R5uyscQmp3aOOz3llnOTENrnwi616Z44Kd4A01V7C25LarfWnR+Z
6s7tBvIZqhkhAkb6U9U6rP4LSt/sYNLo3Xx5njojDros8h8ZizLH5OmBAuoGet8SDC2r+OKYgVSd
2mc+XgwTc912VNFZ9/gKegsrpvOdg5lH47ZMBrUtyxdnsVQYRfYlvQd3Vl+LZLwrF/JgxMi2VsG0
UFcxMfrma+HUJ93t5aby1sFKNC44EgTR2xoW9FQu2wFkB+mEqt86o6I9Ybr6Kf3kWZwCl29L4ned
+zHS1XhH2ccy6BO+nmpvTWADRK97B4YKOOfjr7MYOKo3DGkGjzn8+OY11rhJOs5+cZs/6Zqxl0Z1
J7u3fshfBzGy6BYPvbQcAEsxx9jEu2cI9qQPGL46fJicDV0aY5IidKfyW6aQnhYZdYE12Q8YIyVl
gBqFEqOx0xsSX73rP3GYealS61mB4rHL5LQIspddNh/0GBdaPCOGEkHyLKbhCe4Z+rLk3YJOgA8i
OdZr53WK2zAxbYj4ep+gX+Xnwmn48/04BoanY1HtsKbUILwOwBTe8zgrUPu0Yp82o7j0E9vnjFmZ
AmCnDSdzcB/HZviGPy9N9OrHwGJoTBNvwQyKgiK46Cr+Oxfp/6OThfXO/C899te3cjXZ/8VVmz/2
61Xb/uDa3KjXkdWKrFlzWr9etRklsD37yKI/I3+r+/63UYL4gN0dhz9TU8J5luAP/XbVtj4A2Ia9
ibyImG1xd/5tivyrmP8vPfZiHdz9bq7GVRsDuoB6y96Ebf/P6r5QLcugnvuHflXQ/AaPbUbLz2bs
XMQpCtB7RQ67ZIW+9NQJDmKCGGxlFq7pVSSMunPWhEwrEmw7ENF0OQUx5drbpsD2HmXa2llpeFy4
XiKtfjbHfmsoY7pLsJ5seH6XTcnzPs8ZlwaNbVjZ2ENmYfO1h/hmLIUdlCtFOx5nGnLy9JTY36al
psel8PVd9tlfau3kD5w8QLRdqoLRb2QV9009kEOyP7VZ/5ilq8/MQROUSwjXhjbaXkfLL+rPRoTD
bIm4pJDCP6b5PD4ObOQwymIjyGzFoLho77PXxaIddvFwedSt9xZ1aR2CePhode2tTN/cMtFuMidZ
VEtc/Iab4aFujSehno3S4IlM8b3iZ5/T5kLHzzapyZvNlU7RmaVvR06RtGBGRdCI6EfuxCycHGUD
WLDUDvaKlggaQLBuQ35dnETflo3+2DZJeugG/ZOj2XHoW1382fL3S/PsRX1yb4Kv2PvV2G3YiuFn
cT/HczkdlEWTx2i+4tZW96IHk6JQwGe0ld2YqinocaLugQ/ou07w84sRkHbLRQ6uce4a/TClmnuG
VOVq/rOvsddYcU44aa6eE80lj+kifvcN2axRjEEiiyoc6gbQdtK8giZmrI6fZ5/WFuRTnFib2UXU
cBAXp2jSdnNlcphRS00iGuXQpY8DUjACrpW0L7j9Wd0tf7jXqpaEJys1fkaDfJKM3nMoEps2rqIL
Bznu0oDbjo2bcMTJ6yvcY2z1lWVt6q5+MvCqQeRZvNWb2B5wG+IqUuU9g+X8pFnm04RrmVMfbVfj
xxH6zpm0bkThU3KjFE0/FWyn9A0S2DQyTrPpLHeRca4xlRIEE6eYVDTkDNbsZiSZPZONomC33C8W
37cihILpjTAGR8wsl3cxUhCzCSoFYo8v1uHkrW0dFlStjbwG5iqj05/xIeJdtcdD7CQDXkXVhQkI
/nOvqLz08nvp21+9cf4EILbEDICezbuGdYGfCp8x7OY+0MOQ/o/8JvqXIrPGvTf2t6Uppy1wU060
CcAbZ4DNAF4mQSYQyAXlqhtg4pTndtUSivWX0aovCIQGd1UcqlV7oEdTzEgwyWjEfELRJ/xRfIra
Xe4azsZLKN6MMzZJT1RMqfgWw7zQiVismke/qh/VqoMUGLBGxMggSUx2Umxc82B4ByGLQI8qiMkI
V+exuyhzOBcILSvedUZ4Mez2FDUc4BMkGQ9pZhEMVfKHiobZLU0R7oYM93Onk76YesBN3FI+rbaT
rhwuDsJPhQBUIARlqyLEyf/i5dUzNE36C3wtOjplstON78qm4APXHPZ3Sa8yUcmjRhhBS6k8IklP
34UFAH25pX42n8pVp8oRrHLOqufaTIh6VMn45MOS64T/HkUTS+ucpLcspp2+Ayl8WWhu/+RbFT+v
+CrzOUF1MfI7VwwzsaTK2vWFSQ5/FdgSRkEnYc75MUN4639KcO4cwPAwzuaqztk/dTqpO4eqTOTH
VvjMnJje8Q6i7CWrxlch9mmr6idW/U+sSiBxVHG1fsqDZL2BS+fAxmpZICFy+j+ZdrJmDKv2rlpV
Rvh5fKrCBPGRZSjBfcu4LtcPjcdHjsma3HJHPOgt9QW+fCKse3SQNIFjfsyROG2kzqQHBKDJ5dwk
4awBC5WrKopsshlWndTqg2bVTTWVG3vPLN+GhHO0RYsH0or3qrSpO8I+dMLaIAei1DQfUvIuYdxH
P2ZdPzWkTY8qo5lBEFqx6VN+b0V2qFnDo5W8sIgYjwfab7eKwMAgHvVVFm5q53sdLXycCoJkpsPb
qjfTOXZGRu2AoUNLI6tjxTNis6qPJIujl5mLGm7+oQ6qVY12yo6J5MgoG7ehU38x1hNZs57NzPWU
NnJcy9Zzm5ftJ45x83qeo0CuDZf1jDesp71sPfdZ6wmwWM+CoihKZo4VsnBnYKbW3G1DI9C2Xa8P
GhnPoInlmfoCflIWT7OesbfYi7KeNGa1EYMequ849ksyOds5jihFMno/sEcvOmsGuWiqnPgkJQ0i
ljSeRzlyyZCO3OhdD+bCXg7MsdjW6XnckvhrgLEYK/vIjIMJaJpP9oo7iQ9H1LkvWq/nnI91qV66
B0uPj4wqzU3jSlrWXARDx+lfYSp9Lz5ij+MzNLMnWM63sdDqQHQ/zZryVLrDHfcNzId1yIUX66tp
0LQXXaOh/ZJp00G3S+4EM0E7h1B0AlKzhKDjOGSISSwmoalrX9GZj3QFsqC5IzGOlTKZGvdTi57T
qPtKJ/PLTSNNWQvjW4O/nIt9EQ40A+qquAF9eVnfYmE159HgfeMaWtZstG7CfMEqsm9mP+2zYVeC
AVv09LrU8gj3WMAR44ZcdeQVslAXxq6d1VtBkRwQsp2WVt8AJDxY4JGEw7NSp4231WvjtbP2zA5M
WuA1tZ30gU/ZZCPi91Bl4nbghuRN5W7uhzsAMQjuMHW4SCffUYfPU7sWMVHWUbI6LVBzWX4GxLyJ
YUGEO+8ycP5hVpz3Oz8F4tWIe33qPrOpA+hR5LSj/phOTXHXGZrc+SbwnSgjujFk7aVT6V4Y5Y9S
WN+KdAqRe9pgbcxATs+UXW4Tuqi5cDG+y+JzHE9b25gvjG0rWrm4WHKdY6ZrLy92pl1t0cP14eqG
L6G6yPLBjk3qWifoSG53W2LuZubgXwp9eIt0ZBe31c4lJQPbTh/Bhw/JoVg3Wlk2VzgW41YhXfT6
vZON8Per/nFU3cChMblfqnPf6+WWJMsjqBGi60lGtSA/S5GxmfNpfY9ya0vywOVrxwB+i6rm9JmL
jWOixin3deEYs6vE8JXkzcYq4kvGe0Vs3cZfWD8P6UjybKE22fOumtROoozDqh6+OgWjqi5jdZnU
vKuphKCjCFMKl0dFl1A+HexafSprnSM0X2Go9a1RljOVoRSINN18L1R97g2eVCK7nB3IgxSduF8G
AxKHxaPkAJJBfK4GuIBNGVOFxZarD1xbM3pRSdgpTMZjIwAX5Ci1i1XcyVbw/zU5+Dnp+N7VyXMZ
cdCQ2nLvmjuOk5Y88ds00WcejD20qtjMzcfaOJZWzd3dIEKmOAUFleUaYQ10hagGHmfYjqfY5yVU
qJ+n1BnrkIQGBX40x5xJjqzCO+GIsXFgZ+T+rkhYnwexWcxFfYXgee6nrD/Falh2hC842QyF8VT5
4j43vE8lTdHXvFrEY14e/SK377IlXpsmXXuXFPOPbuH6ncAQJA3fn7t4wboviPym/le1DGeGSfQl
UEArCQ/y0I4uY4cXPyn9k3BCN53dja2IJnABezRavQmoZclDP1WfOTTPu9ltn+wVd0CR4AEWCROn
ebDRhW+uoalryfCb8+hel0RCW1IfgBuiF39uYUrKMxNXYh3WPJ4Ww6bGOyvnncmXKKX83ttat5tl
WJukVdHE5t3Pc3E+vcE02mB/JJjhQ/v2EEG3lkq/8SpuK9KIXFeyFulaG4qH4B4s/i1P+2+d3YSa
YT2omLMztwcAyVwhJvDbDD+cPGUtWkDOq34n2XX2Iwch3cvI7GWqDGozl1u4VHlItARmgGG/QLhK
1uAOfYB7LfdU4OTRm1OIc9N19iVp05cpTiOQZFpYRio9Gj43jDG5Git8v66AUxE+OHhAGDhGUv1m
bMZY8Nj47Lm5/WZX0bGxm4fUT19RVG7E1PAKFLStWnhWJ69AVukvelue0tXJMUmSgzqcN8qGLWge
x2HwluMSz980IATbKTKfrASAjCH1idgxAwhlvvHPi2wg83fsJ1yvWDCs9LGsJ9aH0OR+QYiqpDx5
5nORe/EGyAEeLvmL4+z/3Zj/NZdg1Uwws/1zf8L1e5xgUJjf/kI14Q/+qpqYH1yBx8ARPKsWAAB+
5xfVxPM/4IqDw2f42Nt/+Z3fVBPnA2oGpgFqOhwghP7vHJjigw4HHXYvaotvrOCwv6GauD8b1v6o
mkA5WLGQDvcK37X/ZM/ro6TzhHQd0G3+c1OkWdjag7GLyqojMKmJo5kTM0eC/VEPfX4mQRPfM388
NI620yJWEnPQ5RFu3sIIqwIO0mtiF1MtA5eMxLilWbRX5Kl3XQbrC3Mac89ZRutt/ZLCz7mQ7Xru
l0JQAMpNOBry7C4dsnrHj3LaTun4qjUN1qQidk9aJpytV5tgu6quO6ksI/O3DIHsumdIVvGjrafi
RlgTPC34ndlfPpVxUexWh/OpF1NzGxtg45Glh5yTzGeQXuXWx2Z3BrHmvFDqty37rgtYHeq7alZP
vm5iXmrbGXel4P6X0PUKwlZDJ33rDWu62boh7g0vdu7psMg4sySfCmSKcwpEb99RnnfVl9vinKze
FccqV3GoS28E99QAzM9N/Q7WY7NnyQZsuf5StX6zT3w86ZqY06euJ2JIX/W9AXvpMauIpskx8PrJ
PmpG69/bifWeUq1YVPZ7RZXydhZVe++k856VIQt0O5X3HvbLjRw9lodJ/8G6RUcoDd2enl9M4MBS
8+6QA7Kj6ukcWCzCR7XzVUTLt7m5LkStNhShQDPIX7TEN7a2N33OyuIREIt5dBP9PZ0hHrsM32cE
f1U38bHNWErzyTyw75PPKr3HcZmIJuYvfvcYLXCPPU5EAxz82dQORccQbia5uSkmUvhgHVOch+0n
UkLZjQNNMhflSUhqI5csJd87JR/TZk5InCvvTnTMT+IWvqDtbMs8y0JzaKkhdgg2RBlxNisWRP1q
tvAMRExgU45NbjJ2d1H7+LnJMG/kyfJCFAXXiTeeepdcnkj6jlzu9MOtJ8YAfqhUjnLdjC9aiXOH
+vUjdOCP9AIp5b3PVgfUlerHnTsXIEF942NWa+UxsnInUBYOBbgJl45RX5DiLjtKrJCxAxBfW4LO
ACc0+k1xYtgCVwISa9UMC7k+jkKdj2ZG5DngxHTWce01g7hrOfIaGVimLKdgbXwzTXx3PnuS5qp2
W/ipdYRg+O/sncmS3UiWZL8IIWYADMP2zZPPs28gziCJGTDDDHx9n8eMzIzI6q6uXFRLL2rjkgym
00l3DHb1qh4lIkAX5r0paj44bXCTZ/WuY+d7P2HUKMtHIODUoHbyYIPhPiGR/vHhn79spcmPKUwm
VF9N1yLHyhUZSnKFxoHNKWPxaI/ytUv6dgv6HUfPzyWx3A9TxOLgUty5FSQvKfF+GAbQ0E4SOKwE
M2uXtsKmgqIoj00fXRxwQA9x4HzJdCTd0WEeTR3xGQJnWLkk5tdLu1irZCJWudReyCaO9XJTeOIF
CwxVan73WUajc2sUjy1mjOl5hIxAqMxvvyZRXqayu0/qqHxq8SZvLA3MPNFJcStdfLkDE2red29+
EbJrckKYP1MxHF0GR+bg5pPgrv9pGfd3llnNXd/Oa99T7WNWADlXxJhOzkJJ2aS6+WCagBLj0Dwl
3BIZ0dcDzrKfnuNR9sU6ipS1dUUHoA49U8u+s6GDaQ7Hx0E7wynuZ3Mq34E3Y/TtikGdxtD2t5PO
fhg5qnNdaS4/+jl//UpFSp29egZgWEbeFsqfufS0A12ycu8Zx77XcparoorCZ2yfH/0QcljVzptD
A/zek9UMWaJbbiahvteeLK+jGRTBxKDTQfM4Tb1hrWe5jXv69et/fvj138aMWX2u/fhA3tG//zW6
g6vjhBOz8bRaP37uE3fhQST8TRqw+wx7c7tUig8ts7ObxTAgKdq9MX3NVWy3zKDh77YBRttXhBPT
iUeWDyA6lvZz5I1rv/YLOqenditmsH7Wwm7breb+PCuboHlKWB8a1lo5cX8LrDQkV08CyoxcggzU
zU72gPgaM3xIToPOXOovw3p5O/lZckrsaHruQ+8+ml1xdAecz1FTXwxBa9Z6XXksp/L70DV7ZwmK
s6js8TgBS2TOmS5NbI0X/7Wsm4c2GQgphv0Pay59alWoko4C30L5UfBpoNW+DUP+1VhU2coeuglY
KmlRbe8WvWTzhrhcfth+ar+gxjunhOhXXPhPczeWOzwKL7heWJxj5ChzBiYH1wQMW0JahH3WQa2d
Y+SXe6sRG7su5dHY0EiCsEVwr5jFqMEotlIIAOzMuK7r7ma3p2AV8zCRsLVteOlWuGvWRV7T2BGB
8JjqC6LlvMtBD/H0j4Dy9wIwG3JfvwTP6M5mW8U+gSAUb6wO1nAgRJJsEose2ZY3/N7hgZmLDAxC
UgLtCzE8mSAqcfEs75bvmzt/GeVjCpTLdDQPtTzVt9Y1AZXfCc+r/vZhHjGfL63/VFbqKdPedNPW
43Qz0yW3nRsfW1vKTzTxEmdHsMTCE9PK3dBTW+pAe5g7092zQIBX4KSbKpovM6uKNb3DkEyCeqIJ
EGD0YPnRLT+0GxIHMxZgdBvg3LgAeFzPs/k5dGZTAOVjZMUy5tUo/6NH8nZps3cr1jN2PN5+mEOG
NEl3YWfoO17c7dAEd2ONadzpAH4X56CwnY01q+vRSn9lvXrO8Q2sUFIle9T2s6tYgk9TA34IXXpQ
1T2VU3pr5pa2w5Ha+IlKzYrlxkrd+a14TWoabpqMLSy+0+pW2ljQc4dwhA6pfK8Q4eI09LDTsbKS
LSWPk9fUe+n49xl+1H2S8TDJogg0Zz4SAi68+BQm00Eas8MEcqH67SGM6jUuwHLdpAIjfC/XiZzj
rYVsxtCY7Y0qMwo5dk6OEVNay7YKI3c99017ExGhu5mZ4MY0lfv4iqlPkV5QLzN31/mzvGGb8GWF
YbsbiZ1gRh8ug9bRjW6L7dIsHnCTGQ5/Uf5wxfLFysjDK+i0a+Yqb0UpebtbInTrLO/kcabZ6exm
MKl5V65VtYh7dm9EivWEVXUgxC6CX+IOL+gKAk4O0DmTgAbRlMpytteWUOV5aOu3FoLQYV4wvdSJ
1TDzXcHiwe2skmVnOr0pEmwYYA84BqYJcpl7Q0sNlntbbhO1fLL5H9HmczT9ZsLnhKkl0Eh7oxwv
/XJFAcrkoQM1vpY5Rdd+fyx70LpWh9iQFOihJjlOAbOxIe6dJfypxTiT5bha/TUDKmVeejOVcMsR
qF4dQDb2VHFk6cxdnVCAntT+W0OQ/wHukxU2r/bY3rIobHdOyqyNuxeNFUeH03rpmdvvQ8d2uB1N
fKyTxDpZhYLhpw3swoWTSjbHR1qrKW6xQNsuSxzeUPB7SN2A7UQ84p6slxguYvSCKTVaaarBDlbi
r42DGcNt9T7PUoTaNgh5am9xRoxryUnFDHF9Ugaek579glIJ90di5f1R9Et2b5aZ6usS8m744RXD
3VgM1i6wp08tz/SN3s9iPmT5wroyGF411A4MgMMTR9xxK21CjhwviPiTGmllAo2rlZ9Kxdc2W6dA
GyjKQxJw+Megxnl7AMlfsbjxrT0YhgjUFfxpAE8wXPy7NmkOiYdtVS9lceirZZ/r1GNXEK68plj1
yCrEyN4Huh3YorGbtZsPk8DKrq8+IKtwL2YpXhtisgFC2IojzmvikvOVGSyQbH5Kbe+9poJhY1p+
1L/mz/+Z1v9L07r7n2Yn1wlRgpTUZPIfx/XrZ/5tXPe936Bu2iGzMOWQQAOZh//IS3q/QQ+0haBP
Bmr4nzwODiH0UNJQRs6AwDn04X94HPgtL/AZ8D1oEpJt17/lcXD+JU3gCixLuCmotyBC7Lr2v4TQ
+8TzS1FmDHgeuumQq/R6LtdMP7GPvzUR+E+98DCKXJ5AnFg3QqAMOYU/3neW+MY6qdsNk52dE57x
idS3th57CgE53NoWzTCdTZC7bnOq42SaPFCdSUy8Hest9YFqo6snCnrl3kyT2amFDrJJDTswhQCr
zFTfOQxunuO8MP2CWcult/2fq/sXafP/dnUTnLxmFLkU/89i1EvXfTVf+fUi/8v1/c/P/dsFHsjf
xNWkgxrFNfQXzIL/m/Jx9Qh5xWT++fqWvwFYoBPHCX1b4vPBEtTW/S+EZvAbGZlrU8cvBev6Wf+G
GoXO/lcPD9V89hXHT2+ZyzSO//6vcRk426Rp5jQ51G23L1FMNmEbFne87+q9z9kK5YiUXAvs8RKr
yNxMdtr9WFoawryobEv8FF6MrSMOaPpeqomMRqUsCRgyI/beVdEmysbixbWsaBtioeD9efV7xxSk
/o5u4hz6jBrD0LXIPzoTGYWRbimjBqoymkykGz3l4SotKkqObUwKRe15G5UFH1ZVjAjk3ussmCZC
BiLdAnIC09gDIVpYN1vN+DhPbHIjk+vnBUmqJFuDGASZiMBFZAEzDkmaku1N14kS+c4t8nzHgREH
yjC32YVcGm2PffxEfpOtOSDhtTVI/nzfe6ob8zSM0euUBVAfYDtoQF7rZDEWjiQZuA997v1UlDzw
F8OayVRS5Kdl0d0upyYTA/XUsC0WcaO+26zKwFe5cTet57IMiMpasn5bbJboG51i8141iccpmtzz
cQgS7xm7tXXsYtuDLsq2gjXsgAYg7jwG3nMyucUXMZh8O3eg2UUHGg9mwSr0K9aGk+vu55A51gm0
urS08l1gH8NpN6ztg2Y8Znb9QUEFaVzJfwGqlR9r7MxrkRMebAbxo/XIVGobCjouXxoXVxCXbuox
/UaVDKmNqRj3xu3qVQXnc98MWXaga4njiN1xsQChcztCA30wJvwwqYxM7DjcwxN9FbhSSRbgXvTy
z6xIw1WJV4x4A+vPLFC4XxrXR5KfNcaSoOHY3k7vcYtrRoyuvapY2O/cJY7JWHYYoLX4fYhz/J4T
pv2GpQLkjaldjxn004RegZfYwiPfCYZd1nuUDrux5NHegGqqxnZeKTvJCO1eg9EBqylCrxjyo7zZ
1Ol0AxqyX7WDosskK737BvV1pyKZb+FrWVip0uhQI0+t7fm60FlskHNT3O8dRN3nCufXWs19/9CB
MwQRmbJKbC0oWc3VJxxSLSE6S9Nroz/FFBDdCNEiBRmacz5Fw0coWeoMeFmOxYjXg6ud3rEgF+Qf
nCi7ZHOuzkppZ1OL2KwRneQn7mvIn9McHecek1BoyfDdz1V/9i3He8RjQBhZRf7DPHq4ZK043rd2
l+1M0luEojOKE5rUvwuXmVDRVHpPVuPb+y6e0vWAXWaT5I71qANPHxBsi20T1prqo1Dcp1nTbouh
tLAWBE9OmhUg4SZnvYD0W7OspaQHTzTujOv80FVII1bRa1rdQdVC21v2QxdE21IHLna5iLHIkF+3
kxhgSDSSgIGWcULk8N4aJybf4VnZMegAqAxDfx209bCaMhO9uHHu3FOpVJ9KpfDdF+2yDVq2RLma
ChCWpXMQZPfJ674MgHJueFwXCJ+gPWcIu0lj3QlwZUAIyJ+V0SvGhmblE6g45qOkG2mp2jsqlu1t
I9N0a/zcgHZkVZ1kWAL6yUKKoff3qtbzj5MrC1vmR6tG9kwBdrJVLyuu42JW34gc5F82o+4+qnoP
TPk8bSob7wwyse3R4xXEWKW6kRX6Ko0WhhlajP1X3KPz3go6eScsKt3KpWzuC8PfCgXXbdlgNzPk
LHOQtvUa+uj7lZNu4TZWIEedlEVCeRdOrJW7uETp8KCUHjoL0iAMe58ejOTVGIc7VmAjqB1MEP0Y
eJQC8BkJpohVvrTzJhgcgQk/0hSKRn3zvGi8Bn0OzSSQc3dbtBQrVZONVSE6d0t8q67Rai4DzVLR
ep1DHk1NEnHtBJU4RWWn30Sq44OXJGRDnDKkCVH+hOjqXUafzXbI16Bak+IDXNaPC54byAttz9Y1
TOpnUi79c5+hY+eF2+zdsTOcmVrwqKiFAzpejB5LBjyzy1UlKcyoPH2HCvkc5lGdr8a2mnmeVHX5
YITqTkKzCfRQ3o6JwRGJK3tE7aif/nR2+MNd+2dKjvL/Fdvwr2/i6+//CZODPwuDhUN8idqLstj7
hYc8Eo6jOXpLLd7bObIfukXUq7xvw2tJou6yrVel/h53rjiFrZMyZJfc8/aQojSDaEg8QEVmUeW7
Nsu4S0dKArLUsiHsdrEFXH65FgkMgVqOSGlYvQI/FY8Tlkl2/0V3CakZPBDr4ovCujPbsXbMBkIQ
fnnJCAmGkcj7Cg3CulM6587p+vQSw63ZErpKNxDa5JOLPLdtuyw4Z46kZLPnaZZkTvidJyfGeWVm
sZOyjHbxPHtP/kIOMNeeocnR9um7mEDou924nBpfTlt4fOHWx/hA7jVWzrqrKgANwjidXNUdA8Mq
HmbycKBq3W3lcivNNWkG/omu/tbGHSueFH9IOPBID5vIITZvm/0I5vXRdFK9J0QNwk1tkeBFiXfl
vSKgQkBx0P7vqYXAR4vgEInNXBDxbeB2YzTrqqNuw4GUKFflUxc2WKnoUK+/LMeab+amiT7DbFLH
bAn0fTk0Tr81VLlsclydm4b9+WEinn8TpKb6aceLt9N1Oe0UEhrgS5uKlJ607RONvuLkEUh+GPB2
y5XdEUeiwiTQm2ysQn1ReQO+vw5N+MPjANRx/2rMz2kDMwDFzXzXfrlUa+t6c3m4Ruat66sAd8Nc
Fy4srGL6ItpVE8yS4WfHDhzFikYohhM5vIHGTrdJRtViS3f6idHGHlB52UGt5wa3Yl915uBGA/3C
bUh+oTbp/DSl8XTEFCbvF60AKta/nmXl9bFW8u9cO9dHXXZ96GHu9b4N1wdhy/MAk64Cr9tgo/is
fz0zqyQkAQIpOW1vQ5GTjwVUDV2u11bwISnCJXw3d6+J5U0HGxvlPverwFmj3If3g+eVr6MowT/I
yHKHbfrr3WFh6bvXdlaQD2N11NFMZKe3sO2uHmHY5dvh+gaj98mCtDenzhmnLUk8+ujNnnCwf1cv
M1GaQnXpiy7mNt6Q2ilYoAS0A63z61vYtW35LuaaU1srraMCeHDmaHjV/bQe9osw6f0wKnnKram5
INlx1oD+DJ558dIDKJC2Ya9QzPfllI0gSGfvYtn1QNeRF+xzV/MsTiOreLFUJfHC90jWdB5KMJAs
z9r3bEKFTiM6oGjHgM3ZNZrWCVOLjYtEvvNT2XFWHcv8Nu3zq/G7CskpK6xAQY0pTNPHslnqPHhQ
dRjtoiINdrMX8fz2LYOXOmW7G+fBm2Mc/y2MlfxuefPw7I88puIsSjcyn/VPW88D/3xbvQZ0OU1r
44v8Nra84cNUjvPTSWqe5KoWkrtnLp+aqyaVO2yJVrxul2PgyfzQ20FwFm0yrgecPOtOmpjFnzDm
ebQmb1vJzsala+z0MW1jUOk25Wh0T3UB5Lhm2dQmR8s3faFOxOmCi19Ezl1lNRERwW56FZUZDtIS
ITDJEryx1/a3dIxU32biVFSb2+Wn3afhJ8TP5i5QKqPKyUo36UBikO7dBMuxnRPkxASsoMNFYP3d
3q1PSU0QAThGdBjCXN91IwQkW3CSdhbb27FYVFvXxu4XunVOKJzCrJUDh+ASscF96nkv/dQIHM9d
M1b0BY1EyTY9PEtwBryXVwPdc9/FvMQXqub7c5NV0YcH7PMjnSdFzFQDxowJjAsbUkqNAXWew+mW
CRMS+xUUzwU670SVE/++4lzLrDQHPYTcmWlEPdY4A6u0eYhdO9mUU5wyXkEr2NXPmh4+ymFELXf0
K3kpEbF+2rWgsLnVbXAcS1+lhB7rCixQWR1xB/gIkR4VAJxSo/S10ZrkVTDqT+pTlxnEamq/OVgQ
NvRVe4icLC0oFuvbe75Z+pvuHb49g/U2tjlA6X7kVFAb1iscQ+77WQAp1623g8yOl2rsmXpaYiid
XyyXxdbRcYoiGwynzclhuVoAA7faKkH7eKeS4KwpsDiTpGGhK1VzQy5A3IklrV5xtjfzqrGy6S4m
1GhWXVQ7il21AHpaOvk5iFP9OQ15+yztunnF7mEuTtJ0B9sDQwt6a3ovu3I4BLb2T52tly9Bk9pL
PJTRU6KKiM7YKjDn0uH0GVDZgoBqklsZ07agG0NGpdfzLRE/Z184lbi0aVq+j4MYtki/eP+ENQx6
N9pZe6iFncvVHFpJxMPXKbBzjzSh78q6XEBBO9ccYsnQLkafVoraXEsf2VkUezH5pd4NiQ9HvYih
2G9Gt4teVN+odXIUrVyCjUuWWd8CDWXBwuL8gdaH9EcpvZCE99SCxwkU2WOVmec46C1yL/Y1Uxt4
T8ob692k4s8rpDFdDaNbUBPpO4eSoPwOQ+J1KnObnT0O/d6XsYsZYNSPVVBeyMqwIsOvNjXtUTHq
HcbJqaAxjwwH7rxMX8Apyg27R9zeuXLT+xj+9rFf+u6w+Hhn+HGLPWfR6dNvya1z5bPQMAK0dKDM
WqnkmRJYpkh7ZGKzQhqjy2rwTzYLAqyskbWP6tF66uippiZcemvXpiakmKr0e2fFOZdeFK4wsgJ4
bKbxUaRj/pzoMMZij6XZgbV1xqkRg98aut1Ugtye0VVeYmzMl8Aa2nJtRyMmR4PCB/ySU6hfVSaF
0VjLLxP03lYNQ/hAliKEo+3Em8ZvsQW3mQKaRltAECfDtg+v6NUFKD+pbJoZkjSdFOdn2W1hQCk6
AtPRB3Utkl1WpQTorUIq5nlRnHzKR08+FVFb2UzuoZw8+RR1YbI1o60uWVFjdZzdfE+kCcdBg6av
7ZarlEDuC1+q9de9t3CGjIWVvquUa96MuX4kdNZtwrIZb4l9c7P7i/tKh5DzOyaC+sCatCNJFFSb
KvXsLSby/ETcOjj4lFFu+1hXP4MqD268VhUvWdb6O+ZQGPbac3foCfoUa44sPlWWR7BHUDALinvp
EQi/jW3wg6CKt0lTOzy3ontQot1FCF4wgu0AkzGEpKmpfrciUlamGzf2Ajcl4EyG3zWTJ5WVvDLt
sr7xO7lsa8euTtoW00mD4dpyDMGmObkpgOG27uCB8hNdJW1PlKfsCn7+ufKeuVGho6Nb/dEg//9s
wXD9Qv/oMvr/pIHIk5AMlfOfLg+efwAiir+qv1r9/vmZ/9BWHZ7dV7Qgf94vOuLflwc+GEYVULfL
LfRXdVWGVw4jsieD/N8Ngn+oq1KRkITDGBIZIvOAV/DfUVf9gKzlnxOS/K1IbXo2CwnYRw5f868z
XZoHaetkYwwqRTnvQZICGc0MwfaGkfvQZa26HxIPFVTj6WcmXyz2d60YiYSo6m60nbBfE+iwd27d
VZe4wyKo9ULppIu0uSld4nWbWYVLt2tRnglXRBEpuC6CF8Bes8Ed2NvE+VcNdvqzPy3BMR1HyjnC
3EYDdDPobsZyAwoq5pIbtUOs3SiXQYJOrjz+luq8bddoDwhkToq0R5OogzXbovuORjFaMR/9MqNS
tB7okNhYSwLMfw468X0KNAKtINXNw7X16hc3UuylvcK0T9ls6WNqvOQWjMXcr+ZJi7fKFOmb3eYs
FeEh5WIj0yV7HpEjLvi3zCGCBfyMnFa+irTD2BJWY0MrBj9iIAJlGDFJEv/HZtAhDq6CObPHlRaO
9b10hXNxrIVkeTt24UijQZG9ddH1PKnTdnqy+Z/wkLIgho3fyyVaubVIEFcWzZg5lnUOHKIq+abN
XXggyjH+EpsBs5UqeuzD0TyQtZ5gR8WD5By6AEZZXHze7VD/TELHfJdMOzeTP/olrUlLv+38yd71
fVVvBuFNUIUb70CmKX3VPGA2nBZRMsd+PkAFrU5GRAXazNzchZZCisoz65yEuSB5lXEW6ktxdq/u
aJtUJeJPTosprwWyrnF0XztVdjPDR8Enr6ECIsXV27HzzaGRzXJsrg8+padxkxrSktHYT0c7bPSL
dqC/+OpqJe8x4K89HRYONVdWsJ/N8CqbmfhM1DpjgJVakgNddAiro9fA/I0z0ZCq3ZQ4pTVVb+MS
pncW4uqDn9mN2VnJvGylUeZkJ234ypav/XK7rM5JCUgn2MvSw3zodcO4JS+13LSWwabnW/HJ5hUO
/qUb7lFISHAQj2zwvIYpWSJHY52pPRf7f+DeqjLgoDGLgQmhK88M8Vzh/pj+FEPBqSl26uGqh/uf
oijjZt33QfjsVxQrZF0qYPLyCocAVJUE3sbwmLhs5ujz8Ta9csgALl2jvvSEc34zd3H6OAUBXARJ
09deuEP35nBCvu3ZB51mUalbMTTqzTaFPs5ugeIxFcqCyuWSGxk6VOVIq+E5CCf7pS/98eCN04xU
UXlvRWA6pp8o6L4VYkJaW7AqUQUGC4yZyRHAt2Y7+WK1A9yA7xC4pyjx/bumaukUGRJIGuDIHLPL
68zsaVgKb8pIlAcu22Sv+7y6S/LMeR5KOyYLqewn7pnhMLeAPFZJ78AxMSkhVxIFTcp1IHlMkAcl
GkC9ZcbBSVDAhJpNI5rOPr05nfF9kEOokeeG/sYdjGlXo3QZFwqZk8nzEfzPXoSVuafW5pyPiWAe
znMWRUrJ62lbymfaggK9LQ2npFpl1qufd+VD0OB/XPhe82DsSo3xTczTTydjC7zKFOgKqAlY/PJs
LFtcWxOlX0joJXlgbtxjZNU04pSjabfc/wjF0yhw62qHZ00S4sqk5Kd8GDAFQ/efLe8kZMl9V7lU
LkcYUcK0dsi6dgYrhF0vJ9N0wzmMLCcgQTFhDJxIpU+rgP3HGeVIoiqpnkz6TBYZn1NzoBDd/5js
Kr2BS1dyBzY0aIHTbOhrgVV2gcCAy0+wSCv3tUfDW4ei+c5oHv8cPFE9WksrNiO0Hjowen+42M7g
bOWYDneFJjVUOCluuSFTg8SjEpQ/8ScXn7UhWrRiAs5wQ6vwElAbt1FVQ8yMZmSar6Keb1adBAJw
Z4N1DxioJwnZVvkJDJM+tykoz8U3+gk7CUKvWwx03BrKNZHWlq6grbcfy58EQ+lXSLhsXl2yRVcE
pPlWwzV4cYNSEcAobLGZpix8ENzf/gE8iP4YO3LA6HrDTB7adz3UgmROfpQdMte2EkON9GdJcmGB
dP3rXDeg6cUauYk397WCzCvJnfjTXKKB9e6Vu6Ki7zV36rDV9WA/tqaJId1xos/WnhR4xYkyxm9o
ZvGZDrPpPWH39SKwboIfyQk5NtdpZrDAlrrUyh5Hag4w8MQkfWIKUFlbdk1DjZfCMWUl/Zcf5Oob
t5X/I6Wt+mCZoL4jZekv9Gn2DkP55BEkjzGP+xWzeMsZhjdUMHo/zAzutkxUgkutKlMM2aQeUfAU
3eu60QF5RZxQUAyq+6aYR9JSXvpZcK1ugq4taCO2s28YhZc3jsasEBdnzB5TFruQbMCbnjubIyji
YPdtRMx+zZzhJXYYQng9BWiWS+LBF436sHqbl/aFJFaya1Lt37l1wMnant2DQM1AeEpJ7m3KIave
h87jSF4NxTcoDfA6QdscwznRex/l96EcJhYtQFaJD1DXgnoH73MZcaQ30W7mYYfP1SU/im33RoGM
mLYz/kZ2Y1ouN6xF1e/+nEYPFcw++Oc93kuc/s2l9Wf3WZO8PEYUyn2VmfchdO7wIFUBO+a2LR5H
ymofyt7OXxWjCKQ8NzlxdocG1U7tSQ9dRDXhrOC2Y7Vfz9ESPXBcCC4lusdlwAjFiaBJeesObvCN
njumM0eUD4myQcomdXalfXkeXNa66twP6D4FvjQ3+FIgKEc6TKr0w6LR5oYEEwkIEmrhwa/YccVu
1t92rgw+EKHGXWv1sz5m0qN5zzije3RioFaYueR4AonNQk7Urtiklix2iq3ujgVad5mavHe2lRVW
JzTw+bVsr/zZbOyeO+Lfj1bqB0fnGhtg9YQ8EQ1GXmIq0cwqrp3mxasFiFdPl9VNWHjuyfQGXsyy
1O9JlarPsGIdzbcAw9cYueR6OwqpojTsjkXhYLAFevgQ27Rslb3X0w+Qx+/Avdt9mRL5buK4vhTI
ld+kxXWwI3XVj495qMsTOvO0ibCKo09W1busg+YdwwA2sLrpKbg1yXeWj+WpRfzc6tgFuAiosvnd
CuEcAN2iRCkbgmpfRVAKg5pnerWM8VbBFbuhvDPle2cHd0lKnpGi3/maQWteRGPMbZ/L4ch3Wn6C
+7cO2B67m5LCvvVgdPGVBUOzDjPpPyZ9gMLrVtilqclU3+I084+DaiQEi2vszcna/mHWNthFWxh5
k/mjtcLYa32Gtkz3fud53JJziMcyLDD0LlNZffO6QN6z67ZYSNgtMUj6z/dgGCzFkDzp8zKUXCFB
1busCghpLGlTPw3MDi9LHvQPuT2aG9ss1C6mkX/j2P3yatkQ6Tw9hvu+G2ByLfgCyrxPD23gx7sk
jeDotRzKgJ51RJrD7sOIevgi79lsJRrJXQSahYBM7fN6actlM6Sdg1FWhfvBiymfJMV74ywFJM0l
sD/b0oleGjbkO3B2Zt87lsWTOSnrC3i2MNuHC3EetmXWhFu74sdm0jLc+77MT22tW5wWdUCbMcF4
Ec6eC/qQd/BcRP5n6FnXG4mY/CtJAGKg4RzestAp3llaz3e248htlYjgA2YCT3OVV/J+DpX6qcgh
vVEKaN25U0ZUJurE7xP69o0eWh4VYRk2X/EcpfsCmfIhTq44kqicLoGMJk5NpoHHwBam8FFAB9in
G3pC3XvhmYCEOr4xEqaI9S+FmcBltIN7fbJZBKmx61yLP5f2Ea8aNT+t/TPNiX/GTPvUxlVucRzz
oaQsx0lfG6SVdSPaPtmktat3AKqcl0LBZdsGRnbPQDFt8vdz+pi4V+BBwFMEB2g1gowq7fY+9zt9
Z3Aqs1uO6/nQYIeBS1Ca4RGprmGyUmI5F5EX7zsdqcd+rIBre7hSw9KJD2TaU3w1JrjY7IbXpqja
F0+gT3RlYrHrEcNLM1XWBvBIDE18GbLjWHk2sj9k2mpZeM4SiHpvckc8hXaEbcUefYLKmfPaNK7a
V47sb4PaF6epgmXH6mS5teMfTEZKrHIt4ssQjTh8lQRauWrnvLpPaC8j9JMX6h67JdJJYQjho3sO
T8Yt0not+jIA9jjwrqRFjpvR6avsrVfEGFZcx+wJZ0LgTh0wQJrIWpgYhvxhieL4HqeC/9LmQQ7/
K0oPsOgQsYlV70eTFfcZB+GLDOiZDX13Iwl6ntkuMvFlXYuJxp4B4jnRMt5Q6ouLCPLFnSCARKzK
BiqBGOh9AODC2N5CAu2FF91C3PB2JU8IYANG+dMuKIP+jHCsCqijI+1fPlu165XKZegj39HlBb0V
SfZaz2u5NrujJRviDf7a4FNGKH6gy7VPFsY3CW8Gb3rSbV5980sv2nlLn378txj4/hsakP4QuDb/
u/7qf1Cmrr97X6cV98F/KLn+L/2f/m59+1/MnUlv2kAUgP9KlFN7Qd4wcEikVEjN3jSN1PMEW7WL
gcoGVemv7zdjD/GAMZCxotxY37x5ftvM25oBHTYQm1QzoupMpjBS/RRa3+VA7jYomWBu9yqKz065
OSL5garTgCJWZ+DKq55sMaelqvp6EPScPsFaf0iuh1cm+7FejUq76NC+xe1p4dtw2jYQq3TIq4gN
hNyI2hLB6QV9xwMSJPCIeZBNWCdC2COhlhJbF08/oHirbEb+/kSYLAhI54xa/8UMCyN5U7YLP4QP
NiC88gFzzBnhMhoRhGerVKWxxzoJRrAJ94HhcOQ5hDyDkuTvTwIRzWQJZMFY6MmyTgL8Uq98LuWE
p7VoHSMMI/iAxFVogFAMVDV1nQhhz6Xhixf0YQWyW2WF9gcTBoqzN7v3HasRPL/XZ+IVroQTDl05
D83khCE5vkQ0A5eZD1IllMnGH4gTfCqxNzOgjyaCbPzvI+ykGNONnttwgwhDp8cdO6X1oQeTkApN
2f2hnHAApdY2hPBXFikTk8aFYuRSce79gda+2wAqrapUJ1rD+KFMLy9Bl/pVvj83JE5p/tqX2hKo
daq/VxvcXtpYS+9Kf3iZxrnIJzQnUaq9QvNezDBSF/MoYZzVQy6iuEjqUk9bBITwFaGzUwPdmlJs
hZ+v5mJCi4amJYjOdLFEUYiZxlQS3+MGSL9vTOtfq/M2zDnLCKMXpz/yCObYEuRS5C+bMSyiUuhX
a8jpbCelXUIa+DO2S1yL2WylZp/dCOLkaX7yqViKZfxZg1a8T8Ujis12rRuRz3EGpxvhPs/t4Nne
IBDZBmDl69gifSumRSKiv3H8R1NAkQSLht60hX4nouSlWVhL62S7wLc8RZg0okqWsMgdPMyHVbSa
JHGevxjAQ99F+9ti/cBpUDxrOAprMvE6wPpR/BaUCwjDIfQGnipV2101dJB6+ZFOp6mhtnyHk4De
xdv11pOYpdnJvYhWGpakCDHvEEtqS2pV4dSkyivPwBb+z7hYnnyJCfNnGlmFPaGxDrC/E6h0FNcy
N3i88m9tcSdOD3TDc5YHSc/vwGp8XRgYrw+otjhj/tezge/TyeKZgZZXhRz4VNTpz7HFpb+Y/ujt
zHnR5g5wNOJw1ImiTP8tctMpkMDpwNaBnX0i+rEyOagC3oH0jsUR00UtVdCe2V6W0Nu7mdsC39P2
yxL8OM6SVHO7VEA8YIoLgg5cqPFa3sY7Z3FbYr+3ytoafiKWSzKnN+u4qzrXDsRA2Zn2SlrLTVxj
CnZW6nZwKtmbrWaJ/62IoE+dR+lyS+s25vBx5cgLzth7H0TTeXJ9Bbl9ytRXi01/M4/Q8heTLBb5
+X8AAAD//w==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387569</xdr:colOff>
      <xdr:row>0</xdr:row>
      <xdr:rowOff>83426</xdr:rowOff>
    </xdr:from>
    <xdr:to>
      <xdr:col>10</xdr:col>
      <xdr:colOff>72259</xdr:colOff>
      <xdr:row>14</xdr:row>
      <xdr:rowOff>159626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27560C-7D81-4E16-AF8C-906DE529E2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5869" y="83426"/>
              <a:ext cx="456149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'Sales' by 'Zone'&#10;&#10;Description automatically generated">
          <a:extLst>
            <a:ext uri="{FF2B5EF4-FFF2-40B4-BE49-F238E27FC236}">
              <a16:creationId xmlns:a16="http://schemas.microsoft.com/office/drawing/2014/main" id="{B1CEF866-7BFC-485B-880E-7E2BBE74E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'Sales' by 'Zone' where 'Sales' is greater than 120&#10;&#10;Description automatically generated">
          <a:extLst>
            <a:ext uri="{FF2B5EF4-FFF2-40B4-BE49-F238E27FC236}">
              <a16:creationId xmlns:a16="http://schemas.microsoft.com/office/drawing/2014/main" id="{1F13801C-5445-4243-A6B3-E54C69A3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rn More" refreshedDate="44176.774140624999" createdVersion="6" refreshedVersion="6" minRefreshableVersion="3" recordCount="10" xr:uid="{4FED0C6A-9A78-4846-82E7-4694519D5F53}">
  <cacheSource type="worksheet">
    <worksheetSource ref="E1:F11" sheet="ANALYZE DATA"/>
  </cacheSource>
  <cacheFields count="2">
    <cacheField name="Salesman" numFmtId="0">
      <sharedItems/>
    </cacheField>
    <cacheField name="Product" numFmtId="0">
      <sharedItems count="5">
        <s v="Zandubalm"/>
        <s v="Tigerbalm"/>
        <s v="Toothpaste"/>
        <s v="Toothbrush"/>
        <s v="Io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rn More" refreshedDate="44189.540117129633" createdVersion="6" refreshedVersion="6" minRefreshableVersion="3" recordCount="10" xr:uid="{60A37414-DD7F-40BB-82D2-A027E6DFD65D}">
  <cacheSource type="worksheet">
    <worksheetSource ref="A1:B11" sheet="ANALYZE DATA"/>
  </cacheSource>
  <cacheFields count="2">
    <cacheField name="Zone" numFmtId="0">
      <sharedItems count="3">
        <s v="South City"/>
        <s v="North City"/>
        <s v="West City"/>
      </sharedItems>
    </cacheField>
    <cacheField name="Sales" numFmtId="0">
      <sharedItems containsSemiMixedTypes="0" containsString="0" containsNumber="1" containsInteger="1" minValue="32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Shaktimaan"/>
    <x v="0"/>
  </r>
  <r>
    <s v="Ironman"/>
    <x v="1"/>
  </r>
  <r>
    <s v="Superman"/>
    <x v="2"/>
  </r>
  <r>
    <s v="Thor"/>
    <x v="3"/>
  </r>
  <r>
    <s v="Batman"/>
    <x v="4"/>
  </r>
  <r>
    <s v="Spiderman"/>
    <x v="1"/>
  </r>
  <r>
    <s v="Antman"/>
    <x v="3"/>
  </r>
  <r>
    <s v="Hitman"/>
    <x v="0"/>
  </r>
  <r>
    <s v="Ratman"/>
    <x v="0"/>
  </r>
  <r>
    <s v="Netman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99"/>
  </r>
  <r>
    <x v="1"/>
    <n v="65"/>
  </r>
  <r>
    <x v="2"/>
    <n v="32"/>
  </r>
  <r>
    <x v="0"/>
    <n v="65"/>
  </r>
  <r>
    <x v="1"/>
    <n v="98"/>
  </r>
  <r>
    <x v="2"/>
    <n v="65"/>
  </r>
  <r>
    <x v="0"/>
    <n v="32"/>
  </r>
  <r>
    <x v="1"/>
    <n v="65"/>
  </r>
  <r>
    <x v="2"/>
    <n v="54"/>
  </r>
  <r>
    <x v="0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ECC1B-DA05-4AF7-B867-51CFB7D0791E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>
  <location ref="C4:D7" firstHeaderRow="1" firstDataRow="1" firstDataCol="1"/>
  <pivotFields count="2">
    <pivotField showAll="0"/>
    <pivotField axis="axisRow" dataField="1" showAll="0" measureFilter="1" sortType="descending">
      <items count="6">
        <item x="4"/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">
    <i>
      <x v="4"/>
    </i>
    <i>
      <x v="1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57A71-B176-41DB-AF13-642BBF2C520E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C4:D8" firstHeaderRow="1" firstDataRow="1" firstDataCol="1"/>
  <pivotFields count="2"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1D6CC-FBA2-4E00-AEE8-B6361EB43F4B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chartFormat="1">
  <location ref="C4:D8" firstHeaderRow="1" firstDataRow="1" firstDataCol="1"/>
  <pivotFields count="2">
    <pivotField axis="axisRow" showAll="0" measureFilter="1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8C07-DD4E-42C3-8ACA-CDFE963E4D15}">
  <sheetPr codeName="Sheet1"/>
  <dimension ref="A1:A14"/>
  <sheetViews>
    <sheetView zoomScale="145" zoomScaleNormal="145" workbookViewId="0">
      <selection activeCell="B12" sqref="B12"/>
    </sheetView>
  </sheetViews>
  <sheetFormatPr defaultColWidth="9.109375" defaultRowHeight="14.4" x14ac:dyDescent="0.3"/>
  <cols>
    <col min="1" max="1" width="24.5546875" customWidth="1"/>
  </cols>
  <sheetData>
    <row r="1" spans="1:1" x14ac:dyDescent="0.3">
      <c r="A1" s="21" t="s">
        <v>109</v>
      </c>
    </row>
    <row r="2" spans="1:1" x14ac:dyDescent="0.3">
      <c r="A2" s="18" t="s">
        <v>98</v>
      </c>
    </row>
    <row r="3" spans="1:1" x14ac:dyDescent="0.3">
      <c r="A3" s="19" t="s">
        <v>97</v>
      </c>
    </row>
    <row r="4" spans="1:1" x14ac:dyDescent="0.3">
      <c r="A4" s="19" t="s">
        <v>99</v>
      </c>
    </row>
    <row r="5" spans="1:1" x14ac:dyDescent="0.3">
      <c r="A5" s="19" t="s">
        <v>100</v>
      </c>
    </row>
    <row r="6" spans="1:1" x14ac:dyDescent="0.3">
      <c r="A6" s="19" t="s">
        <v>101</v>
      </c>
    </row>
    <row r="7" spans="1:1" x14ac:dyDescent="0.3">
      <c r="A7" s="19" t="s">
        <v>102</v>
      </c>
    </row>
    <row r="8" spans="1:1" x14ac:dyDescent="0.3">
      <c r="A8" s="19" t="s">
        <v>103</v>
      </c>
    </row>
    <row r="9" spans="1:1" x14ac:dyDescent="0.3">
      <c r="A9" s="19" t="s">
        <v>104</v>
      </c>
    </row>
    <row r="10" spans="1:1" x14ac:dyDescent="0.3">
      <c r="A10" s="19" t="s">
        <v>105</v>
      </c>
    </row>
    <row r="11" spans="1:1" x14ac:dyDescent="0.3">
      <c r="A11" s="19" t="s">
        <v>106</v>
      </c>
    </row>
    <row r="12" spans="1:1" x14ac:dyDescent="0.3">
      <c r="A12" s="19" t="s">
        <v>107</v>
      </c>
    </row>
    <row r="13" spans="1:1" x14ac:dyDescent="0.3">
      <c r="A13" s="19" t="s">
        <v>108</v>
      </c>
    </row>
    <row r="14" spans="1:1" x14ac:dyDescent="0.3">
      <c r="A14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EFBC-2E86-492A-A245-74285CE79DED}">
  <sheetPr codeName="Sheet2"/>
  <dimension ref="A1:G10"/>
  <sheetViews>
    <sheetView zoomScale="175" zoomScaleNormal="175" workbookViewId="0">
      <selection activeCell="C13" sqref="C13"/>
    </sheetView>
  </sheetViews>
  <sheetFormatPr defaultRowHeight="14.4" x14ac:dyDescent="0.3"/>
  <cols>
    <col min="1" max="1" width="10.6640625" bestFit="1" customWidth="1"/>
    <col min="2" max="2" width="11.6640625" bestFit="1" customWidth="1"/>
    <col min="3" max="3" width="12.6640625" bestFit="1" customWidth="1"/>
    <col min="6" max="6" width="10.5546875" bestFit="1" customWidth="1"/>
    <col min="7" max="7" width="12.6640625" bestFit="1" customWidth="1"/>
  </cols>
  <sheetData>
    <row r="1" spans="1:7" x14ac:dyDescent="0.3">
      <c r="A1" t="s">
        <v>38</v>
      </c>
      <c r="B1" t="s">
        <v>32</v>
      </c>
      <c r="C1" t="s">
        <v>33</v>
      </c>
      <c r="F1" t="s">
        <v>32</v>
      </c>
      <c r="G1" t="s">
        <v>33</v>
      </c>
    </row>
    <row r="2" spans="1:7" x14ac:dyDescent="0.3">
      <c r="A2" t="s">
        <v>39</v>
      </c>
      <c r="B2">
        <v>121</v>
      </c>
      <c r="C2" t="str" cm="1">
        <f t="array" ref="C2">_xlfn.SWITCH(B2,$F$2,$G$2,$F$3,$G$3,$F$4,$G$4,$F$5,$G$5)</f>
        <v>ZANDU BALM</v>
      </c>
      <c r="F2">
        <v>121</v>
      </c>
      <c r="G2" t="s">
        <v>34</v>
      </c>
    </row>
    <row r="3" spans="1:7" x14ac:dyDescent="0.3">
      <c r="A3" t="s">
        <v>40</v>
      </c>
      <c r="B3">
        <v>135</v>
      </c>
      <c r="C3" t="str" cm="1">
        <f t="array" ref="C3">_xlfn.SWITCH(B3,$F$2,$G$2,$F$3,$G$3,$F$4,$G$4,$F$5,$G$5)</f>
        <v>TIGER BALM</v>
      </c>
      <c r="F3">
        <v>135</v>
      </c>
      <c r="G3" t="s">
        <v>35</v>
      </c>
    </row>
    <row r="4" spans="1:7" x14ac:dyDescent="0.3">
      <c r="A4" t="s">
        <v>41</v>
      </c>
      <c r="B4">
        <v>171</v>
      </c>
      <c r="C4" t="str" cm="1">
        <f t="array" ref="C4">_xlfn.SWITCH(B4,$F$2,$G$2,$F$3,$G$3,$F$4,$G$4,$F$5,$G$5)</f>
        <v>NEW BALM</v>
      </c>
      <c r="F4">
        <v>171</v>
      </c>
      <c r="G4" t="s">
        <v>36</v>
      </c>
    </row>
    <row r="5" spans="1:7" x14ac:dyDescent="0.3">
      <c r="A5" t="s">
        <v>42</v>
      </c>
      <c r="B5">
        <v>121</v>
      </c>
      <c r="C5" t="str" cm="1">
        <f t="array" ref="C5">_xlfn.SWITCH(B5,$F$2,$G$2,$F$3,$G$3,$F$4,$G$4,$F$5,$G$5)</f>
        <v>ZANDU BALM</v>
      </c>
      <c r="F5">
        <v>195</v>
      </c>
      <c r="G5" t="s">
        <v>37</v>
      </c>
    </row>
    <row r="6" spans="1:7" x14ac:dyDescent="0.3">
      <c r="A6" t="s">
        <v>43</v>
      </c>
      <c r="B6">
        <v>195</v>
      </c>
      <c r="C6" t="str" cm="1">
        <f t="array" ref="C6">_xlfn.SWITCH(B6,$F$2,$G$2,$F$3,$G$3,$F$4,$G$4,$F$5,$G$5)</f>
        <v>OLD BALM</v>
      </c>
    </row>
    <row r="7" spans="1:7" x14ac:dyDescent="0.3">
      <c r="A7" t="s">
        <v>44</v>
      </c>
      <c r="B7">
        <v>195</v>
      </c>
      <c r="C7" t="str" cm="1">
        <f t="array" ref="C7">_xlfn.SWITCH(B7,$F$2,$G$2,$F$3,$G$3,$F$4,$G$4,$F$5,$G$5)</f>
        <v>OLD BALM</v>
      </c>
    </row>
    <row r="8" spans="1:7" x14ac:dyDescent="0.3">
      <c r="A8" t="s">
        <v>45</v>
      </c>
      <c r="B8">
        <v>121</v>
      </c>
      <c r="C8" t="str" cm="1">
        <f t="array" ref="C8">_xlfn.SWITCH(B8,$F$2,$G$2,$F$3,$G$3,$F$4,$G$4,$F$5,$G$5)</f>
        <v>ZANDU BALM</v>
      </c>
    </row>
    <row r="9" spans="1:7" x14ac:dyDescent="0.3">
      <c r="A9" t="s">
        <v>46</v>
      </c>
      <c r="B9">
        <v>195</v>
      </c>
      <c r="C9" t="str" cm="1">
        <f t="array" ref="C9">_xlfn.SWITCH(B9,$F$2,$G$2,$F$3,$G$3,$F$4,$G$4,$F$5,$G$5)</f>
        <v>OLD BALM</v>
      </c>
    </row>
    <row r="10" spans="1:7" x14ac:dyDescent="0.3">
      <c r="A10" t="s">
        <v>47</v>
      </c>
      <c r="B10">
        <v>195</v>
      </c>
      <c r="C10" t="str" cm="1">
        <f t="array" ref="C10">_xlfn.SWITCH(B10,$F$2,$G$2,$F$3,$G$3,$F$4,$G$4,$F$5,$G$5)</f>
        <v>OLD BALM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AAE6-45C3-43ED-A4D0-C2ED3C312E40}">
  <sheetPr codeName="Sheet3"/>
  <dimension ref="A1:C6"/>
  <sheetViews>
    <sheetView tabSelected="1" zoomScale="205" zoomScaleNormal="205" workbookViewId="0">
      <selection activeCell="C2" sqref="C2"/>
    </sheetView>
  </sheetViews>
  <sheetFormatPr defaultRowHeight="14.4" x14ac:dyDescent="0.3"/>
  <cols>
    <col min="1" max="1" width="11.6640625" customWidth="1"/>
    <col min="2" max="2" width="7.33203125" customWidth="1"/>
    <col min="3" max="3" width="24.109375" customWidth="1"/>
  </cols>
  <sheetData>
    <row r="1" spans="1:3" x14ac:dyDescent="0.3">
      <c r="A1" s="3" t="s">
        <v>0</v>
      </c>
      <c r="B1" s="3" t="s">
        <v>1</v>
      </c>
      <c r="C1" s="3" t="s">
        <v>7</v>
      </c>
    </row>
    <row r="2" spans="1:3" x14ac:dyDescent="0.3">
      <c r="A2" s="2" t="s">
        <v>2</v>
      </c>
      <c r="B2" s="4">
        <v>45</v>
      </c>
      <c r="C2" s="2" t="str">
        <f>_xlfn.TEXTJOIN(" Sold Quantity ",TRUE,A2:B2)</f>
        <v>Ajay Sold Quantity 45</v>
      </c>
    </row>
    <row r="3" spans="1:3" x14ac:dyDescent="0.3">
      <c r="A3" s="2" t="s">
        <v>3</v>
      </c>
      <c r="B3" s="4">
        <v>65</v>
      </c>
      <c r="C3" s="2" t="str">
        <f t="shared" ref="C3:C6" si="0">_xlfn.TEXTJOIN(" Sold Quantity ",TRUE,A3:B3)</f>
        <v>Vikas Sold Quantity 65</v>
      </c>
    </row>
    <row r="4" spans="1:3" x14ac:dyDescent="0.3">
      <c r="A4" s="2"/>
      <c r="B4" s="4"/>
      <c r="C4" s="2" t="str">
        <f t="shared" si="0"/>
        <v/>
      </c>
    </row>
    <row r="5" spans="1:3" x14ac:dyDescent="0.3">
      <c r="A5" s="2" t="s">
        <v>5</v>
      </c>
      <c r="B5" s="4">
        <v>65</v>
      </c>
      <c r="C5" s="2" t="str">
        <f t="shared" si="0"/>
        <v>Ravi Sold Quantity 65</v>
      </c>
    </row>
    <row r="6" spans="1:3" x14ac:dyDescent="0.3">
      <c r="A6" s="2" t="s">
        <v>6</v>
      </c>
      <c r="B6" s="4">
        <v>65</v>
      </c>
      <c r="C6" s="2" t="str">
        <f t="shared" si="0"/>
        <v>Simran Sold Quantity 65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F950-6ECB-4E73-9793-0CCF3581A40C}">
  <sheetPr codeName="Sheet4"/>
  <dimension ref="A1:I7"/>
  <sheetViews>
    <sheetView zoomScale="175" zoomScaleNormal="175" workbookViewId="0">
      <selection activeCell="C4" sqref="C4"/>
    </sheetView>
  </sheetViews>
  <sheetFormatPr defaultRowHeight="14.4" x14ac:dyDescent="0.3"/>
  <cols>
    <col min="2" max="2" width="9.5546875" customWidth="1"/>
    <col min="3" max="3" width="12.44140625" bestFit="1" customWidth="1"/>
  </cols>
  <sheetData>
    <row r="1" spans="1:9" x14ac:dyDescent="0.3">
      <c r="A1" s="5" t="s">
        <v>0</v>
      </c>
      <c r="B1" s="5" t="s">
        <v>1</v>
      </c>
      <c r="C1" s="5" t="s">
        <v>8</v>
      </c>
      <c r="D1" s="1"/>
      <c r="E1" s="1"/>
      <c r="F1" s="1"/>
      <c r="G1" s="1" t="s">
        <v>9</v>
      </c>
      <c r="H1" s="1"/>
      <c r="I1" s="1" t="s">
        <v>8</v>
      </c>
    </row>
    <row r="2" spans="1:9" x14ac:dyDescent="0.3">
      <c r="A2" s="6" t="s">
        <v>2</v>
      </c>
      <c r="B2" s="6">
        <v>45</v>
      </c>
      <c r="C2" s="6" t="str" cm="1">
        <f t="array" ref="C2">_xlfn.IFS(B2&gt;=80,"Best",B2&gt;=60,"Good",B2&gt;=40,"Average",B2&lt;40,"Dull")</f>
        <v>Average</v>
      </c>
      <c r="D2" s="1"/>
      <c r="E2" s="1"/>
      <c r="F2" s="1"/>
      <c r="G2" s="1">
        <v>80</v>
      </c>
      <c r="H2" s="1" t="s">
        <v>11</v>
      </c>
      <c r="I2" s="1" t="s">
        <v>12</v>
      </c>
    </row>
    <row r="3" spans="1:9" x14ac:dyDescent="0.3">
      <c r="A3" s="6" t="s">
        <v>3</v>
      </c>
      <c r="B3" s="6">
        <v>65</v>
      </c>
      <c r="C3" s="6" t="str" cm="1">
        <f t="array" ref="C3">_xlfn.IFS(B3&gt;=80,"Best",B3&gt;=60,"Good",B3&gt;=40,"Average",B3&lt;40,"Dull")</f>
        <v>Good</v>
      </c>
      <c r="D3" s="1"/>
      <c r="E3" s="1"/>
      <c r="F3" s="1"/>
      <c r="G3" s="1">
        <v>60</v>
      </c>
      <c r="H3" s="1" t="s">
        <v>11</v>
      </c>
      <c r="I3" s="1" t="s">
        <v>13</v>
      </c>
    </row>
    <row r="4" spans="1:9" x14ac:dyDescent="0.3">
      <c r="A4" s="6" t="s">
        <v>4</v>
      </c>
      <c r="B4" s="6">
        <v>98</v>
      </c>
      <c r="C4" s="6" t="str" cm="1">
        <f t="array" ref="C4">_xlfn.IFS(B4&gt;=80,"Best",B4&gt;=60,"Good",B4&gt;=40,"Average",B4&lt;40,"Dull")</f>
        <v>Best</v>
      </c>
      <c r="D4" s="1"/>
      <c r="E4" s="1"/>
      <c r="F4" s="1"/>
      <c r="G4" s="1">
        <v>40</v>
      </c>
      <c r="H4" s="1" t="s">
        <v>11</v>
      </c>
      <c r="I4" s="1" t="s">
        <v>10</v>
      </c>
    </row>
    <row r="5" spans="1:9" x14ac:dyDescent="0.3">
      <c r="A5" s="6" t="s">
        <v>5</v>
      </c>
      <c r="B5" s="6">
        <v>65</v>
      </c>
      <c r="C5" s="6" t="str" cm="1">
        <f t="array" ref="C5">_xlfn.IFS(B5&gt;=80,"Best",B5&gt;=60,"Good",B5&gt;=40,"Average",B5&lt;40,"Dull")</f>
        <v>Good</v>
      </c>
      <c r="D5" s="1"/>
      <c r="E5" s="1"/>
      <c r="F5" s="1"/>
      <c r="G5" s="1">
        <v>40</v>
      </c>
      <c r="H5" s="1" t="s">
        <v>14</v>
      </c>
      <c r="I5" s="1" t="s">
        <v>15</v>
      </c>
    </row>
    <row r="6" spans="1:9" x14ac:dyDescent="0.3">
      <c r="A6" s="6" t="s">
        <v>6</v>
      </c>
      <c r="B6" s="6">
        <v>35</v>
      </c>
      <c r="C6" s="6" t="str" cm="1">
        <f t="array" ref="C6">_xlfn.IFS(B6&gt;=80,"Best",B6&gt;=60,"Good",B6&gt;=40,"Average",B6&lt;40,"Dull")</f>
        <v>Dull</v>
      </c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B9D6-7EA9-4CF0-8254-B4CCC4EF2B7A}">
  <sheetPr codeName="Sheet5"/>
  <dimension ref="A1:I14"/>
  <sheetViews>
    <sheetView topLeftCell="H1" zoomScale="175" zoomScaleNormal="160" workbookViewId="0">
      <selection activeCell="I2" sqref="I2"/>
    </sheetView>
  </sheetViews>
  <sheetFormatPr defaultRowHeight="14.4" x14ac:dyDescent="0.3"/>
  <cols>
    <col min="7" max="7" width="11" customWidth="1"/>
  </cols>
  <sheetData>
    <row r="1" spans="1:9" x14ac:dyDescent="0.3">
      <c r="A1" s="5" t="s">
        <v>0</v>
      </c>
      <c r="B1" s="5" t="s">
        <v>16</v>
      </c>
      <c r="C1" s="5" t="s">
        <v>17</v>
      </c>
      <c r="D1" s="5" t="s">
        <v>1</v>
      </c>
      <c r="E1" s="1"/>
      <c r="F1" s="2"/>
      <c r="G1" s="7" t="s">
        <v>18</v>
      </c>
      <c r="H1" s="8"/>
      <c r="I1" s="7" t="s">
        <v>21</v>
      </c>
    </row>
    <row r="2" spans="1:9" x14ac:dyDescent="0.3">
      <c r="A2" s="6" t="s">
        <v>2</v>
      </c>
      <c r="B2" s="6" t="s">
        <v>18</v>
      </c>
      <c r="C2" s="6" t="s">
        <v>19</v>
      </c>
      <c r="D2" s="6">
        <v>78</v>
      </c>
      <c r="E2" s="1"/>
      <c r="F2" s="2" t="s">
        <v>48</v>
      </c>
      <c r="G2" s="8">
        <f>_xlfn.MAXIFS($D$2:$D$14,$C$2:$C$14,F2,$B$2:$B$14,$G$1)</f>
        <v>78</v>
      </c>
      <c r="H2" s="8" t="s">
        <v>48</v>
      </c>
      <c r="I2" s="8">
        <f>_xlfn.MINIFS($D$2:$D$14,$C$2:$C$14,H2,$B$2:$B$14,$I$1)</f>
        <v>68</v>
      </c>
    </row>
    <row r="3" spans="1:9" x14ac:dyDescent="0.3">
      <c r="A3" s="6" t="s">
        <v>3</v>
      </c>
      <c r="B3" s="6" t="s">
        <v>18</v>
      </c>
      <c r="C3" s="6" t="s">
        <v>20</v>
      </c>
      <c r="D3" s="6">
        <v>44</v>
      </c>
      <c r="E3" s="1"/>
      <c r="F3" s="2" t="s">
        <v>49</v>
      </c>
      <c r="G3" s="8">
        <f>_xlfn.MAXIFS($D$2:$D$14,$C$2:$C$14,F3,$B$2:$B$14,$G$1)</f>
        <v>98</v>
      </c>
      <c r="H3" s="8" t="s">
        <v>49</v>
      </c>
      <c r="I3" s="8">
        <f>_xlfn.MINIFS($D$2:$D$14,$C$2:$C$14,H3,$B$2:$B$14,$I$1)</f>
        <v>61</v>
      </c>
    </row>
    <row r="4" spans="1:9" x14ac:dyDescent="0.3">
      <c r="A4" s="6" t="s">
        <v>4</v>
      </c>
      <c r="B4" s="6" t="s">
        <v>21</v>
      </c>
      <c r="C4" s="6" t="s">
        <v>19</v>
      </c>
      <c r="D4" s="6">
        <v>97</v>
      </c>
      <c r="E4" s="1"/>
      <c r="F4" s="1"/>
    </row>
    <row r="5" spans="1:9" x14ac:dyDescent="0.3">
      <c r="A5" s="6" t="s">
        <v>5</v>
      </c>
      <c r="B5" s="6" t="s">
        <v>21</v>
      </c>
      <c r="C5" s="6" t="s">
        <v>20</v>
      </c>
      <c r="D5" s="6">
        <v>61</v>
      </c>
      <c r="E5" s="1"/>
      <c r="F5" s="1"/>
    </row>
    <row r="6" spans="1:9" x14ac:dyDescent="0.3">
      <c r="A6" s="6" t="s">
        <v>6</v>
      </c>
      <c r="B6" s="6" t="s">
        <v>22</v>
      </c>
      <c r="C6" s="6" t="s">
        <v>19</v>
      </c>
      <c r="D6" s="6">
        <v>31</v>
      </c>
      <c r="E6" s="1"/>
      <c r="F6" s="1"/>
    </row>
    <row r="7" spans="1:9" x14ac:dyDescent="0.3">
      <c r="A7" s="6" t="s">
        <v>23</v>
      </c>
      <c r="B7" s="6" t="s">
        <v>22</v>
      </c>
      <c r="C7" s="6" t="s">
        <v>20</v>
      </c>
      <c r="D7" s="6">
        <v>47</v>
      </c>
      <c r="E7" s="1"/>
      <c r="F7" s="1"/>
    </row>
    <row r="8" spans="1:9" x14ac:dyDescent="0.3">
      <c r="A8" s="6" t="s">
        <v>24</v>
      </c>
      <c r="B8" s="6" t="s">
        <v>21</v>
      </c>
      <c r="C8" s="6" t="s">
        <v>19</v>
      </c>
      <c r="D8" s="6">
        <v>68</v>
      </c>
      <c r="E8" s="1"/>
      <c r="F8" s="1"/>
    </row>
    <row r="9" spans="1:9" x14ac:dyDescent="0.3">
      <c r="A9" s="6" t="s">
        <v>26</v>
      </c>
      <c r="B9" s="6" t="s">
        <v>22</v>
      </c>
      <c r="C9" s="6" t="s">
        <v>20</v>
      </c>
      <c r="D9" s="6">
        <v>21</v>
      </c>
      <c r="E9" s="1"/>
      <c r="F9" s="1"/>
    </row>
    <row r="10" spans="1:9" x14ac:dyDescent="0.3">
      <c r="A10" s="6" t="s">
        <v>27</v>
      </c>
      <c r="B10" s="6" t="s">
        <v>18</v>
      </c>
      <c r="C10" s="6" t="s">
        <v>19</v>
      </c>
      <c r="D10" s="6">
        <v>63</v>
      </c>
      <c r="E10" s="1"/>
      <c r="F10" s="1"/>
    </row>
    <row r="11" spans="1:9" x14ac:dyDescent="0.3">
      <c r="A11" s="6" t="s">
        <v>28</v>
      </c>
      <c r="B11" s="6" t="s">
        <v>22</v>
      </c>
      <c r="C11" s="6" t="s">
        <v>20</v>
      </c>
      <c r="D11" s="6">
        <v>25</v>
      </c>
      <c r="E11" s="1"/>
      <c r="F11" s="1"/>
    </row>
    <row r="12" spans="1:9" x14ac:dyDescent="0.3">
      <c r="A12" s="6" t="s">
        <v>29</v>
      </c>
      <c r="B12" s="6" t="s">
        <v>25</v>
      </c>
      <c r="C12" s="6" t="s">
        <v>19</v>
      </c>
      <c r="D12" s="6">
        <v>36</v>
      </c>
      <c r="E12" s="1"/>
      <c r="F12" s="1"/>
    </row>
    <row r="13" spans="1:9" x14ac:dyDescent="0.3">
      <c r="A13" s="6" t="s">
        <v>30</v>
      </c>
      <c r="B13" s="6" t="s">
        <v>18</v>
      </c>
      <c r="C13" s="6" t="s">
        <v>20</v>
      </c>
      <c r="D13" s="6">
        <v>98</v>
      </c>
      <c r="E13" s="1"/>
      <c r="F13" s="1"/>
    </row>
    <row r="14" spans="1:9" x14ac:dyDescent="0.3">
      <c r="A14" s="6" t="s">
        <v>31</v>
      </c>
      <c r="B14" s="6" t="s">
        <v>18</v>
      </c>
      <c r="C14" s="6" t="s">
        <v>19</v>
      </c>
      <c r="D14" s="6">
        <v>25</v>
      </c>
      <c r="E14" s="1"/>
      <c r="F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2168-6E45-4AD7-BAAA-99D65A1CC01D}">
  <sheetPr codeName="Sheet6"/>
  <dimension ref="A1:I14"/>
  <sheetViews>
    <sheetView zoomScale="175" zoomScaleNormal="175" workbookViewId="0">
      <selection activeCell="D2" sqref="D2"/>
    </sheetView>
  </sheetViews>
  <sheetFormatPr defaultRowHeight="14.4" x14ac:dyDescent="0.3"/>
  <cols>
    <col min="3" max="3" width="10.33203125" customWidth="1"/>
  </cols>
  <sheetData>
    <row r="1" spans="1:9" x14ac:dyDescent="0.3">
      <c r="A1" s="5" t="s">
        <v>0</v>
      </c>
      <c r="B1" s="5" t="s">
        <v>16</v>
      </c>
      <c r="C1" s="5" t="s">
        <v>17</v>
      </c>
      <c r="D1" s="5" t="s">
        <v>117</v>
      </c>
      <c r="E1" t="s">
        <v>20</v>
      </c>
      <c r="F1" s="5" t="s">
        <v>0</v>
      </c>
      <c r="G1" s="5" t="s">
        <v>16</v>
      </c>
      <c r="H1" s="5" t="s">
        <v>17</v>
      </c>
      <c r="I1" s="5" t="s">
        <v>1</v>
      </c>
    </row>
    <row r="2" spans="1:9" x14ac:dyDescent="0.3">
      <c r="A2" s="6" t="s">
        <v>2</v>
      </c>
      <c r="B2" s="6" t="s">
        <v>18</v>
      </c>
      <c r="C2" s="6" t="s">
        <v>19</v>
      </c>
      <c r="D2" s="6">
        <v>78</v>
      </c>
      <c r="E2" s="9"/>
      <c r="F2" t="str" cm="1">
        <f t="array" ref="F2:I9">_xlfn._xlws.FILTER(A1:D14,D1:D14&gt;60)</f>
        <v>Salesman</v>
      </c>
      <c r="G2" t="str">
        <v>Zone</v>
      </c>
      <c r="H2" t="str">
        <v>CITY</v>
      </c>
      <c r="I2" t="str">
        <v>QTY</v>
      </c>
    </row>
    <row r="3" spans="1:9" x14ac:dyDescent="0.3">
      <c r="A3" s="6" t="s">
        <v>3</v>
      </c>
      <c r="B3" s="6" t="s">
        <v>18</v>
      </c>
      <c r="C3" s="6" t="s">
        <v>20</v>
      </c>
      <c r="D3" s="6">
        <v>44</v>
      </c>
      <c r="F3" t="str">
        <v>Ajay</v>
      </c>
      <c r="G3" t="str">
        <v>East</v>
      </c>
      <c r="H3" t="str">
        <v>MUMBAI</v>
      </c>
      <c r="I3">
        <v>78</v>
      </c>
    </row>
    <row r="4" spans="1:9" x14ac:dyDescent="0.3">
      <c r="A4" s="6" t="s">
        <v>4</v>
      </c>
      <c r="B4" s="6" t="s">
        <v>21</v>
      </c>
      <c r="C4" s="6" t="s">
        <v>19</v>
      </c>
      <c r="D4" s="6">
        <v>97</v>
      </c>
      <c r="F4" t="str">
        <v>Anil</v>
      </c>
      <c r="G4" t="str">
        <v>South</v>
      </c>
      <c r="H4" t="str">
        <v>MUMBAI</v>
      </c>
      <c r="I4">
        <v>97</v>
      </c>
    </row>
    <row r="5" spans="1:9" x14ac:dyDescent="0.3">
      <c r="A5" s="6" t="s">
        <v>4</v>
      </c>
      <c r="B5" s="6" t="s">
        <v>21</v>
      </c>
      <c r="C5" s="6" t="s">
        <v>19</v>
      </c>
      <c r="D5" s="6">
        <v>98</v>
      </c>
      <c r="F5" t="str">
        <v>Anil</v>
      </c>
      <c r="G5" t="str">
        <v>South</v>
      </c>
      <c r="H5" t="str">
        <v>MUMBAI</v>
      </c>
      <c r="I5">
        <v>98</v>
      </c>
    </row>
    <row r="6" spans="1:9" x14ac:dyDescent="0.3">
      <c r="A6" s="6" t="s">
        <v>4</v>
      </c>
      <c r="B6" s="6" t="s">
        <v>21</v>
      </c>
      <c r="C6" s="6" t="s">
        <v>19</v>
      </c>
      <c r="D6" s="6">
        <v>99</v>
      </c>
      <c r="F6" t="str">
        <v>Anil</v>
      </c>
      <c r="G6" t="str">
        <v>South</v>
      </c>
      <c r="H6" t="str">
        <v>MUMBAI</v>
      </c>
      <c r="I6">
        <v>99</v>
      </c>
    </row>
    <row r="7" spans="1:9" x14ac:dyDescent="0.3">
      <c r="A7" s="6" t="s">
        <v>23</v>
      </c>
      <c r="B7" s="6" t="s">
        <v>22</v>
      </c>
      <c r="C7" s="6" t="s">
        <v>20</v>
      </c>
      <c r="D7" s="6">
        <v>47</v>
      </c>
      <c r="F7" t="str">
        <v>Shital</v>
      </c>
      <c r="G7" t="str">
        <v>North</v>
      </c>
      <c r="H7" t="str">
        <v>MUMBAI</v>
      </c>
      <c r="I7">
        <v>68</v>
      </c>
    </row>
    <row r="8" spans="1:9" x14ac:dyDescent="0.3">
      <c r="A8" s="6" t="s">
        <v>24</v>
      </c>
      <c r="B8" s="6" t="s">
        <v>25</v>
      </c>
      <c r="C8" s="6" t="s">
        <v>19</v>
      </c>
      <c r="D8" s="6">
        <v>68</v>
      </c>
      <c r="F8" t="str">
        <v>Rajiv</v>
      </c>
      <c r="G8" t="str">
        <v>East</v>
      </c>
      <c r="H8" t="str">
        <v>MUMBAI</v>
      </c>
      <c r="I8">
        <v>63</v>
      </c>
    </row>
    <row r="9" spans="1:9" x14ac:dyDescent="0.3">
      <c r="A9" s="6" t="s">
        <v>26</v>
      </c>
      <c r="B9" s="6" t="s">
        <v>22</v>
      </c>
      <c r="C9" s="6" t="s">
        <v>20</v>
      </c>
      <c r="D9" s="6">
        <v>21</v>
      </c>
      <c r="F9" t="str">
        <v>Shantnu</v>
      </c>
      <c r="G9" t="str">
        <v>North</v>
      </c>
      <c r="H9" t="str">
        <v>PUNE</v>
      </c>
      <c r="I9">
        <v>98</v>
      </c>
    </row>
    <row r="10" spans="1:9" x14ac:dyDescent="0.3">
      <c r="A10" s="6" t="s">
        <v>27</v>
      </c>
      <c r="B10" s="6" t="s">
        <v>18</v>
      </c>
      <c r="C10" s="6" t="s">
        <v>19</v>
      </c>
      <c r="D10" s="6">
        <v>63</v>
      </c>
    </row>
    <row r="11" spans="1:9" x14ac:dyDescent="0.3">
      <c r="A11" s="6" t="s">
        <v>28</v>
      </c>
      <c r="B11" s="6" t="s">
        <v>22</v>
      </c>
      <c r="C11" s="6" t="s">
        <v>20</v>
      </c>
      <c r="D11" s="6">
        <v>25</v>
      </c>
    </row>
    <row r="12" spans="1:9" x14ac:dyDescent="0.3">
      <c r="A12" s="6" t="s">
        <v>29</v>
      </c>
      <c r="B12" s="6" t="s">
        <v>25</v>
      </c>
      <c r="C12" s="6" t="s">
        <v>19</v>
      </c>
      <c r="D12" s="6">
        <v>36</v>
      </c>
    </row>
    <row r="13" spans="1:9" x14ac:dyDescent="0.3">
      <c r="A13" s="6" t="s">
        <v>30</v>
      </c>
      <c r="B13" s="6" t="s">
        <v>25</v>
      </c>
      <c r="C13" s="6" t="s">
        <v>20</v>
      </c>
      <c r="D13" s="6">
        <v>98</v>
      </c>
    </row>
    <row r="14" spans="1:9" x14ac:dyDescent="0.3">
      <c r="A14" s="6" t="s">
        <v>31</v>
      </c>
      <c r="B14" s="6" t="s">
        <v>18</v>
      </c>
      <c r="C14" s="6" t="s">
        <v>19</v>
      </c>
      <c r="D14" s="6">
        <v>25</v>
      </c>
    </row>
  </sheetData>
  <dataValidations count="2">
    <dataValidation type="list" allowBlank="1" showInputMessage="1" showErrorMessage="1" sqref="E1" xr:uid="{D337E579-16AC-469B-8B95-995A4FA9F18E}">
      <formula1>$C$2:$C$3</formula1>
    </dataValidation>
    <dataValidation type="list" allowBlank="1" showInputMessage="1" showErrorMessage="1" sqref="E6" xr:uid="{B47720B7-4EE0-4ED6-A826-23A3A59BA93E}">
      <formula1>"MUMBAI, PUNE"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8E8D-D6EF-4200-9CFC-C45E8F62E850}">
  <sheetPr codeName="Sheet7"/>
  <dimension ref="A1:N1000"/>
  <sheetViews>
    <sheetView topLeftCell="A8" zoomScale="145" zoomScaleNormal="145" workbookViewId="0">
      <selection activeCell="G9" sqref="G9"/>
    </sheetView>
  </sheetViews>
  <sheetFormatPr defaultRowHeight="14.4" x14ac:dyDescent="0.3"/>
  <cols>
    <col min="6" max="6" width="10.44140625" customWidth="1"/>
  </cols>
  <sheetData>
    <row r="1" spans="1:14" x14ac:dyDescent="0.3">
      <c r="A1" s="5" t="s">
        <v>0</v>
      </c>
      <c r="B1" s="5" t="s">
        <v>16</v>
      </c>
      <c r="C1" s="5" t="s">
        <v>17</v>
      </c>
      <c r="D1" s="5" t="s">
        <v>1</v>
      </c>
      <c r="E1" s="1"/>
      <c r="F1" s="5" t="s">
        <v>0</v>
      </c>
      <c r="G1" s="5" t="s">
        <v>16</v>
      </c>
      <c r="H1" s="5" t="s">
        <v>17</v>
      </c>
      <c r="I1" s="5" t="s">
        <v>1</v>
      </c>
      <c r="K1" t="str" cm="1">
        <f t="array" ref="K1:N17">_xlfn._xlws.SORT(A1:D17,1,1,1)</f>
        <v>CITY</v>
      </c>
      <c r="L1" t="str">
        <v>Qty</v>
      </c>
      <c r="M1" t="str">
        <v>Salesman</v>
      </c>
      <c r="N1" t="str">
        <v>Zone</v>
      </c>
    </row>
    <row r="2" spans="1:14" x14ac:dyDescent="0.3">
      <c r="A2" s="6" t="s">
        <v>2</v>
      </c>
      <c r="B2" s="6" t="s">
        <v>18</v>
      </c>
      <c r="C2" s="6" t="s">
        <v>19</v>
      </c>
      <c r="D2" s="6">
        <v>78</v>
      </c>
      <c r="E2" s="1"/>
      <c r="F2" t="str" cm="1">
        <f t="array" ref="F2:I17">_xlfn._xlws.SORT(A2:D17,4,-1,0)</f>
        <v>Anil</v>
      </c>
      <c r="G2" t="str">
        <v>South</v>
      </c>
      <c r="H2" t="str">
        <v>MUMBAI</v>
      </c>
      <c r="I2">
        <v>100</v>
      </c>
      <c r="K2" t="str">
        <v>MUMBAI</v>
      </c>
      <c r="L2">
        <v>78</v>
      </c>
      <c r="M2" t="str">
        <v>Ajay</v>
      </c>
      <c r="N2" t="str">
        <v>East</v>
      </c>
    </row>
    <row r="3" spans="1:14" x14ac:dyDescent="0.3">
      <c r="A3" s="6" t="s">
        <v>3</v>
      </c>
      <c r="B3" s="6" t="s">
        <v>18</v>
      </c>
      <c r="C3" s="6" t="s">
        <v>20</v>
      </c>
      <c r="D3" s="6">
        <v>99</v>
      </c>
      <c r="E3" s="1"/>
      <c r="F3" t="str">
        <v>Vikas</v>
      </c>
      <c r="G3" t="str">
        <v>East</v>
      </c>
      <c r="H3" t="str">
        <v>PUNE</v>
      </c>
      <c r="I3">
        <v>99</v>
      </c>
      <c r="K3" t="str">
        <v>PUNE</v>
      </c>
      <c r="L3">
        <v>99</v>
      </c>
      <c r="M3" t="str">
        <v>Vikas</v>
      </c>
      <c r="N3" t="str">
        <v>East</v>
      </c>
    </row>
    <row r="4" spans="1:14" x14ac:dyDescent="0.3">
      <c r="A4" s="6" t="s">
        <v>4</v>
      </c>
      <c r="B4" s="6" t="s">
        <v>21</v>
      </c>
      <c r="C4" s="6" t="s">
        <v>19</v>
      </c>
      <c r="D4" s="6">
        <v>100</v>
      </c>
      <c r="E4" s="1"/>
      <c r="F4" t="str">
        <v>Anil</v>
      </c>
      <c r="G4" t="str">
        <v>South</v>
      </c>
      <c r="H4" t="str">
        <v>MUMBAI</v>
      </c>
      <c r="I4">
        <v>98</v>
      </c>
      <c r="K4" t="str">
        <v>MUMBAI</v>
      </c>
      <c r="L4">
        <v>100</v>
      </c>
      <c r="M4" t="str">
        <v>Anil</v>
      </c>
      <c r="N4" t="str">
        <v>South</v>
      </c>
    </row>
    <row r="5" spans="1:14" x14ac:dyDescent="0.3">
      <c r="A5" s="6" t="s">
        <v>4</v>
      </c>
      <c r="B5" s="6" t="s">
        <v>21</v>
      </c>
      <c r="C5" s="6" t="s">
        <v>19</v>
      </c>
      <c r="D5" s="6">
        <v>98</v>
      </c>
      <c r="E5" s="1"/>
      <c r="F5" t="str">
        <v>Shantnu</v>
      </c>
      <c r="G5" t="str">
        <v>North</v>
      </c>
      <c r="H5" t="str">
        <v>PUNE</v>
      </c>
      <c r="I5">
        <v>98</v>
      </c>
      <c r="K5" t="str">
        <v>MUMBAI</v>
      </c>
      <c r="L5">
        <v>98</v>
      </c>
      <c r="M5" t="str">
        <v>Anil</v>
      </c>
      <c r="N5" t="str">
        <v>South</v>
      </c>
    </row>
    <row r="6" spans="1:14" x14ac:dyDescent="0.3">
      <c r="A6" s="6" t="s">
        <v>4</v>
      </c>
      <c r="B6" s="6" t="s">
        <v>21</v>
      </c>
      <c r="C6" s="6" t="s">
        <v>19</v>
      </c>
      <c r="D6" s="6">
        <v>52</v>
      </c>
      <c r="E6" s="1"/>
      <c r="F6" t="str">
        <v>Ajay</v>
      </c>
      <c r="G6" t="str">
        <v>East</v>
      </c>
      <c r="H6" t="str">
        <v>MUMBAI</v>
      </c>
      <c r="I6">
        <v>78</v>
      </c>
      <c r="K6" t="str">
        <v>MUMBAI</v>
      </c>
      <c r="L6">
        <v>52</v>
      </c>
      <c r="M6" t="str">
        <v>Anil</v>
      </c>
      <c r="N6" t="str">
        <v>South</v>
      </c>
    </row>
    <row r="7" spans="1:14" x14ac:dyDescent="0.3">
      <c r="A7" s="6" t="s">
        <v>23</v>
      </c>
      <c r="B7" s="6" t="s">
        <v>22</v>
      </c>
      <c r="C7" s="6" t="s">
        <v>20</v>
      </c>
      <c r="D7" s="6">
        <v>47</v>
      </c>
      <c r="E7" s="1"/>
      <c r="F7" t="str">
        <v>Shital</v>
      </c>
      <c r="G7" t="str">
        <v>North</v>
      </c>
      <c r="H7" t="str">
        <v>MUMBAI</v>
      </c>
      <c r="I7">
        <v>68</v>
      </c>
      <c r="K7" t="str">
        <v>PUNE</v>
      </c>
      <c r="L7">
        <v>47</v>
      </c>
      <c r="M7" t="str">
        <v>Anvi</v>
      </c>
      <c r="N7" t="str">
        <v>West</v>
      </c>
    </row>
    <row r="8" spans="1:14" x14ac:dyDescent="0.3">
      <c r="A8" s="6" t="s">
        <v>24</v>
      </c>
      <c r="B8" s="6" t="s">
        <v>25</v>
      </c>
      <c r="C8" s="6" t="s">
        <v>19</v>
      </c>
      <c r="D8" s="6">
        <v>68</v>
      </c>
      <c r="E8" s="1"/>
      <c r="F8" t="str">
        <v>Rajiv</v>
      </c>
      <c r="G8" t="str">
        <v>East</v>
      </c>
      <c r="H8" t="str">
        <v>MUMBAI</v>
      </c>
      <c r="I8">
        <v>63</v>
      </c>
      <c r="K8" t="str">
        <v>MUMBAI</v>
      </c>
      <c r="L8">
        <v>68</v>
      </c>
      <c r="M8" t="str">
        <v>Shital</v>
      </c>
      <c r="N8" t="str">
        <v>North</v>
      </c>
    </row>
    <row r="9" spans="1:14" x14ac:dyDescent="0.3">
      <c r="A9" s="6" t="s">
        <v>26</v>
      </c>
      <c r="B9" s="6" t="s">
        <v>22</v>
      </c>
      <c r="C9" s="6" t="s">
        <v>20</v>
      </c>
      <c r="D9" s="6">
        <v>21</v>
      </c>
      <c r="E9" s="1"/>
      <c r="F9" t="str">
        <v>Anil</v>
      </c>
      <c r="G9" t="str">
        <v>South</v>
      </c>
      <c r="H9" t="str">
        <v>MUMBAI</v>
      </c>
      <c r="I9">
        <v>52</v>
      </c>
      <c r="K9" t="str">
        <v>PUNE</v>
      </c>
      <c r="L9">
        <v>21</v>
      </c>
      <c r="M9" t="str">
        <v>Priya</v>
      </c>
      <c r="N9" t="str">
        <v>West</v>
      </c>
    </row>
    <row r="10" spans="1:14" x14ac:dyDescent="0.3">
      <c r="A10" s="6" t="s">
        <v>27</v>
      </c>
      <c r="B10" s="6" t="s">
        <v>18</v>
      </c>
      <c r="C10" s="6" t="s">
        <v>19</v>
      </c>
      <c r="D10" s="6">
        <v>63</v>
      </c>
      <c r="E10" s="1"/>
      <c r="F10" t="str">
        <v>Anvi</v>
      </c>
      <c r="G10" t="str">
        <v>West</v>
      </c>
      <c r="H10" t="str">
        <v>PUNE</v>
      </c>
      <c r="I10">
        <v>47</v>
      </c>
      <c r="K10" t="str">
        <v>MUMBAI</v>
      </c>
      <c r="L10">
        <v>63</v>
      </c>
      <c r="M10" t="str">
        <v>Rajiv</v>
      </c>
      <c r="N10" t="str">
        <v>East</v>
      </c>
    </row>
    <row r="11" spans="1:14" x14ac:dyDescent="0.3">
      <c r="A11" s="6" t="s">
        <v>28</v>
      </c>
      <c r="B11" s="6" t="s">
        <v>22</v>
      </c>
      <c r="C11" s="6" t="s">
        <v>20</v>
      </c>
      <c r="D11" s="6">
        <v>25</v>
      </c>
      <c r="E11" s="1"/>
      <c r="F11" t="str">
        <v>Ram</v>
      </c>
      <c r="G11" t="str">
        <v>North</v>
      </c>
      <c r="H11" t="str">
        <v>MUMBAI</v>
      </c>
      <c r="I11">
        <v>36</v>
      </c>
      <c r="K11" t="str">
        <v>PUNE</v>
      </c>
      <c r="L11">
        <v>25</v>
      </c>
      <c r="M11" t="str">
        <v>Sandeep</v>
      </c>
      <c r="N11" t="str">
        <v>West</v>
      </c>
    </row>
    <row r="12" spans="1:14" x14ac:dyDescent="0.3">
      <c r="A12" s="6" t="s">
        <v>29</v>
      </c>
      <c r="B12" s="6" t="s">
        <v>25</v>
      </c>
      <c r="C12" s="6" t="s">
        <v>19</v>
      </c>
      <c r="D12" s="6">
        <v>36</v>
      </c>
      <c r="E12" s="1"/>
      <c r="F12" t="str">
        <v>Ramraje</v>
      </c>
      <c r="G12" t="str">
        <v>East</v>
      </c>
      <c r="H12" t="str">
        <v>MUMBAI</v>
      </c>
      <c r="I12">
        <v>28</v>
      </c>
      <c r="K12" t="str">
        <v>MUMBAI</v>
      </c>
      <c r="L12">
        <v>36</v>
      </c>
      <c r="M12" t="str">
        <v>Ram</v>
      </c>
      <c r="N12" t="str">
        <v>North</v>
      </c>
    </row>
    <row r="13" spans="1:14" x14ac:dyDescent="0.3">
      <c r="A13" s="6" t="s">
        <v>30</v>
      </c>
      <c r="B13" s="6" t="s">
        <v>25</v>
      </c>
      <c r="C13" s="6" t="s">
        <v>20</v>
      </c>
      <c r="D13" s="6">
        <v>98</v>
      </c>
      <c r="E13" s="1"/>
      <c r="F13" t="str">
        <v>Ramraje</v>
      </c>
      <c r="G13" t="str">
        <v>East</v>
      </c>
      <c r="H13" t="str">
        <v>MUMBAI</v>
      </c>
      <c r="I13">
        <v>27</v>
      </c>
      <c r="K13" t="str">
        <v>PUNE</v>
      </c>
      <c r="L13">
        <v>98</v>
      </c>
      <c r="M13" t="str">
        <v>Shantnu</v>
      </c>
      <c r="N13" t="str">
        <v>North</v>
      </c>
    </row>
    <row r="14" spans="1:14" x14ac:dyDescent="0.3">
      <c r="A14" s="6" t="s">
        <v>31</v>
      </c>
      <c r="B14" s="6" t="s">
        <v>18</v>
      </c>
      <c r="C14" s="6" t="s">
        <v>19</v>
      </c>
      <c r="D14" s="6">
        <v>25</v>
      </c>
      <c r="E14" s="1"/>
      <c r="F14" t="str">
        <v>aKASH</v>
      </c>
      <c r="G14" t="str">
        <v>West</v>
      </c>
      <c r="H14" t="str">
        <v>MUMBAI</v>
      </c>
      <c r="I14">
        <v>26</v>
      </c>
      <c r="K14" t="str">
        <v>MUMBAI</v>
      </c>
      <c r="L14">
        <v>25</v>
      </c>
      <c r="M14" t="str">
        <v>Ramraje</v>
      </c>
      <c r="N14" t="str">
        <v>East</v>
      </c>
    </row>
    <row r="15" spans="1:14" x14ac:dyDescent="0.3">
      <c r="A15" s="6" t="s">
        <v>50</v>
      </c>
      <c r="B15" s="6" t="s">
        <v>22</v>
      </c>
      <c r="C15" s="6" t="s">
        <v>19</v>
      </c>
      <c r="D15" s="6">
        <v>26</v>
      </c>
      <c r="E15" s="1"/>
      <c r="F15" t="str">
        <v>Sandeep</v>
      </c>
      <c r="G15" t="str">
        <v>West</v>
      </c>
      <c r="H15" t="str">
        <v>PUNE</v>
      </c>
      <c r="I15">
        <v>25</v>
      </c>
      <c r="K15" t="str">
        <v>MUMBAI</v>
      </c>
      <c r="L15">
        <v>26</v>
      </c>
      <c r="M15" t="str">
        <v>aKASH</v>
      </c>
      <c r="N15" t="str">
        <v>West</v>
      </c>
    </row>
    <row r="16" spans="1:14" x14ac:dyDescent="0.3">
      <c r="A16" s="6" t="s">
        <v>31</v>
      </c>
      <c r="B16" s="6" t="s">
        <v>18</v>
      </c>
      <c r="C16" s="6" t="s">
        <v>19</v>
      </c>
      <c r="D16" s="6">
        <v>27</v>
      </c>
      <c r="E16" s="1"/>
      <c r="F16" t="str">
        <v>Ramraje</v>
      </c>
      <c r="G16" t="str">
        <v>East</v>
      </c>
      <c r="H16" t="str">
        <v>MUMBAI</v>
      </c>
      <c r="I16">
        <v>25</v>
      </c>
      <c r="K16" t="str">
        <v>MUMBAI</v>
      </c>
      <c r="L16">
        <v>27</v>
      </c>
      <c r="M16" t="str">
        <v>Ramraje</v>
      </c>
      <c r="N16" t="str">
        <v>East</v>
      </c>
    </row>
    <row r="17" spans="1:14" x14ac:dyDescent="0.3">
      <c r="A17" s="6" t="s">
        <v>31</v>
      </c>
      <c r="B17" s="6" t="s">
        <v>18</v>
      </c>
      <c r="C17" s="6" t="s">
        <v>19</v>
      </c>
      <c r="D17" s="6">
        <v>28</v>
      </c>
      <c r="E17" s="1"/>
      <c r="F17" t="str">
        <v>Priya</v>
      </c>
      <c r="G17" t="str">
        <v>West</v>
      </c>
      <c r="H17" t="str">
        <v>PUNE</v>
      </c>
      <c r="I17">
        <v>21</v>
      </c>
      <c r="K17" t="str">
        <v>MUMBAI</v>
      </c>
      <c r="L17">
        <v>28</v>
      </c>
      <c r="M17" t="str">
        <v>Ramraje</v>
      </c>
      <c r="N17" t="str">
        <v>East</v>
      </c>
    </row>
    <row r="18" spans="1:14" x14ac:dyDescent="0.3">
      <c r="A18" s="1"/>
      <c r="B18" s="1"/>
      <c r="C18" s="1"/>
      <c r="D18" s="1"/>
      <c r="E18" s="1"/>
    </row>
    <row r="19" spans="1:14" x14ac:dyDescent="0.3">
      <c r="A19" s="1"/>
      <c r="B19" s="1"/>
      <c r="C19" s="1"/>
      <c r="D19" s="1"/>
      <c r="E19" s="1"/>
    </row>
    <row r="20" spans="1:14" x14ac:dyDescent="0.3">
      <c r="A20" s="1"/>
      <c r="B20" s="1"/>
      <c r="C20" s="1"/>
      <c r="D20" s="1"/>
      <c r="E20" s="1"/>
    </row>
    <row r="21" spans="1:14" x14ac:dyDescent="0.3">
      <c r="A21" s="1"/>
      <c r="B21" s="1"/>
      <c r="C21" s="1"/>
      <c r="D21" s="1"/>
      <c r="E21" s="1"/>
    </row>
    <row r="22" spans="1:14" x14ac:dyDescent="0.3">
      <c r="A22" s="1"/>
      <c r="B22" s="1"/>
      <c r="C22" s="1"/>
      <c r="D22" s="1"/>
      <c r="E22" s="1"/>
    </row>
    <row r="23" spans="1:14" x14ac:dyDescent="0.3">
      <c r="A23" s="1"/>
      <c r="B23" s="1"/>
      <c r="C23" s="1"/>
      <c r="D23" s="1"/>
      <c r="E23" s="1"/>
    </row>
    <row r="24" spans="1:14" x14ac:dyDescent="0.3">
      <c r="A24" s="1"/>
      <c r="B24" s="1"/>
      <c r="C24" s="1"/>
      <c r="D24" s="1"/>
      <c r="E24" s="1"/>
    </row>
    <row r="25" spans="1:14" x14ac:dyDescent="0.3">
      <c r="A25" s="1"/>
      <c r="B25" s="1"/>
      <c r="C25" s="1"/>
      <c r="D25" s="1"/>
      <c r="E25" s="1"/>
    </row>
    <row r="26" spans="1:14" x14ac:dyDescent="0.3">
      <c r="A26" s="1"/>
      <c r="B26" s="1"/>
      <c r="C26" s="1"/>
      <c r="D26" s="1"/>
      <c r="E26" s="1"/>
    </row>
    <row r="27" spans="1:14" x14ac:dyDescent="0.3">
      <c r="A27" s="1"/>
      <c r="B27" s="1"/>
      <c r="C27" s="1"/>
      <c r="D27" s="1"/>
      <c r="E27" s="1"/>
    </row>
    <row r="28" spans="1:14" x14ac:dyDescent="0.3">
      <c r="A28" s="1"/>
      <c r="B28" s="1"/>
      <c r="C28" s="1"/>
      <c r="D28" s="1"/>
      <c r="E28" s="1"/>
    </row>
    <row r="29" spans="1:14" x14ac:dyDescent="0.3">
      <c r="A29" s="1"/>
      <c r="B29" s="1"/>
      <c r="C29" s="1"/>
      <c r="D29" s="1"/>
      <c r="E29" s="1"/>
    </row>
    <row r="30" spans="1:14" x14ac:dyDescent="0.3">
      <c r="A30" s="1"/>
      <c r="B30" s="1"/>
      <c r="C30" s="1"/>
      <c r="D30" s="1"/>
      <c r="E30" s="1"/>
    </row>
    <row r="31" spans="1:14" x14ac:dyDescent="0.3">
      <c r="A31" s="1"/>
      <c r="B31" s="1"/>
      <c r="C31" s="1"/>
      <c r="D31" s="1"/>
      <c r="E31" s="1"/>
    </row>
    <row r="32" spans="1:14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  <row r="186" spans="1:5" x14ac:dyDescent="0.3">
      <c r="A186" s="1"/>
      <c r="B186" s="1"/>
      <c r="C186" s="1"/>
      <c r="D186" s="1"/>
      <c r="E186" s="1"/>
    </row>
    <row r="187" spans="1:5" x14ac:dyDescent="0.3">
      <c r="A187" s="1"/>
      <c r="B187" s="1"/>
      <c r="C187" s="1"/>
      <c r="D187" s="1"/>
      <c r="E187" s="1"/>
    </row>
    <row r="188" spans="1:5" x14ac:dyDescent="0.3">
      <c r="A188" s="1"/>
      <c r="B188" s="1"/>
      <c r="C188" s="1"/>
      <c r="D188" s="1"/>
      <c r="E188" s="1"/>
    </row>
    <row r="189" spans="1:5" x14ac:dyDescent="0.3">
      <c r="A189" s="1"/>
      <c r="B189" s="1"/>
      <c r="C189" s="1"/>
      <c r="D189" s="1"/>
      <c r="E189" s="1"/>
    </row>
    <row r="190" spans="1:5" x14ac:dyDescent="0.3">
      <c r="A190" s="1"/>
      <c r="B190" s="1"/>
      <c r="C190" s="1"/>
      <c r="D190" s="1"/>
      <c r="E190" s="1"/>
    </row>
    <row r="191" spans="1:5" x14ac:dyDescent="0.3">
      <c r="A191" s="1"/>
      <c r="B191" s="1"/>
      <c r="C191" s="1"/>
      <c r="D191" s="1"/>
      <c r="E191" s="1"/>
    </row>
    <row r="192" spans="1:5" x14ac:dyDescent="0.3">
      <c r="A192" s="1"/>
      <c r="B192" s="1"/>
      <c r="C192" s="1"/>
      <c r="D192" s="1"/>
      <c r="E192" s="1"/>
    </row>
    <row r="193" spans="1:5" x14ac:dyDescent="0.3">
      <c r="A193" s="1"/>
      <c r="B193" s="1"/>
      <c r="C193" s="1"/>
      <c r="D193" s="1"/>
      <c r="E193" s="1"/>
    </row>
    <row r="194" spans="1:5" x14ac:dyDescent="0.3">
      <c r="A194" s="1"/>
      <c r="B194" s="1"/>
      <c r="C194" s="1"/>
      <c r="D194" s="1"/>
      <c r="E194" s="1"/>
    </row>
    <row r="195" spans="1:5" x14ac:dyDescent="0.3">
      <c r="A195" s="1"/>
      <c r="B195" s="1"/>
      <c r="C195" s="1"/>
      <c r="D195" s="1"/>
      <c r="E195" s="1"/>
    </row>
    <row r="196" spans="1:5" x14ac:dyDescent="0.3">
      <c r="A196" s="1"/>
      <c r="B196" s="1"/>
      <c r="C196" s="1"/>
      <c r="D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D200" s="1"/>
      <c r="E200" s="1"/>
    </row>
    <row r="201" spans="1:5" x14ac:dyDescent="0.3">
      <c r="A201" s="1"/>
      <c r="B201" s="1"/>
      <c r="C201" s="1"/>
      <c r="D201" s="1"/>
      <c r="E201" s="1"/>
    </row>
    <row r="202" spans="1:5" x14ac:dyDescent="0.3">
      <c r="A202" s="1"/>
      <c r="B202" s="1"/>
      <c r="C202" s="1"/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1"/>
      <c r="C204" s="1"/>
      <c r="D204" s="1"/>
      <c r="E204" s="1"/>
    </row>
    <row r="205" spans="1:5" x14ac:dyDescent="0.3">
      <c r="A205" s="1"/>
      <c r="B205" s="1"/>
      <c r="C205" s="1"/>
      <c r="D205" s="1"/>
      <c r="E205" s="1"/>
    </row>
    <row r="206" spans="1:5" x14ac:dyDescent="0.3">
      <c r="A206" s="1"/>
      <c r="B206" s="1"/>
      <c r="C206" s="1"/>
      <c r="D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  <row r="579" spans="1:5" x14ac:dyDescent="0.3">
      <c r="A579" s="1"/>
      <c r="B579" s="1"/>
      <c r="C579" s="1"/>
      <c r="D579" s="1"/>
      <c r="E579" s="1"/>
    </row>
    <row r="580" spans="1:5" x14ac:dyDescent="0.3">
      <c r="A580" s="1"/>
      <c r="B580" s="1"/>
      <c r="C580" s="1"/>
      <c r="D580" s="1"/>
      <c r="E580" s="1"/>
    </row>
    <row r="581" spans="1:5" x14ac:dyDescent="0.3">
      <c r="A581" s="1"/>
      <c r="B581" s="1"/>
      <c r="C581" s="1"/>
      <c r="D581" s="1"/>
      <c r="E581" s="1"/>
    </row>
    <row r="582" spans="1:5" x14ac:dyDescent="0.3">
      <c r="A582" s="1"/>
      <c r="B582" s="1"/>
      <c r="C582" s="1"/>
      <c r="D582" s="1"/>
      <c r="E582" s="1"/>
    </row>
    <row r="583" spans="1:5" x14ac:dyDescent="0.3">
      <c r="A583" s="1"/>
      <c r="B583" s="1"/>
      <c r="C583" s="1"/>
      <c r="D583" s="1"/>
      <c r="E583" s="1"/>
    </row>
    <row r="584" spans="1:5" x14ac:dyDescent="0.3">
      <c r="A584" s="1"/>
      <c r="B584" s="1"/>
      <c r="C584" s="1"/>
      <c r="D584" s="1"/>
      <c r="E584" s="1"/>
    </row>
    <row r="585" spans="1:5" x14ac:dyDescent="0.3">
      <c r="A585" s="1"/>
      <c r="B585" s="1"/>
      <c r="C585" s="1"/>
      <c r="D585" s="1"/>
      <c r="E585" s="1"/>
    </row>
    <row r="586" spans="1:5" x14ac:dyDescent="0.3">
      <c r="A586" s="1"/>
      <c r="B586" s="1"/>
      <c r="C586" s="1"/>
      <c r="D586" s="1"/>
      <c r="E586" s="1"/>
    </row>
    <row r="587" spans="1:5" x14ac:dyDescent="0.3">
      <c r="A587" s="1"/>
      <c r="B587" s="1"/>
      <c r="C587" s="1"/>
      <c r="D587" s="1"/>
      <c r="E587" s="1"/>
    </row>
    <row r="588" spans="1:5" x14ac:dyDescent="0.3">
      <c r="A588" s="1"/>
      <c r="B588" s="1"/>
      <c r="C588" s="1"/>
      <c r="D588" s="1"/>
      <c r="E588" s="1"/>
    </row>
    <row r="589" spans="1:5" x14ac:dyDescent="0.3">
      <c r="A589" s="1"/>
      <c r="B589" s="1"/>
      <c r="C589" s="1"/>
      <c r="D589" s="1"/>
      <c r="E589" s="1"/>
    </row>
    <row r="590" spans="1:5" x14ac:dyDescent="0.3">
      <c r="A590" s="1"/>
      <c r="B590" s="1"/>
      <c r="C590" s="1"/>
      <c r="D590" s="1"/>
      <c r="E590" s="1"/>
    </row>
    <row r="591" spans="1:5" x14ac:dyDescent="0.3">
      <c r="A591" s="1"/>
      <c r="B591" s="1"/>
      <c r="C591" s="1"/>
      <c r="D591" s="1"/>
      <c r="E591" s="1"/>
    </row>
    <row r="592" spans="1:5" x14ac:dyDescent="0.3">
      <c r="A592" s="1"/>
      <c r="B592" s="1"/>
      <c r="C592" s="1"/>
      <c r="D592" s="1"/>
      <c r="E592" s="1"/>
    </row>
    <row r="593" spans="1:5" x14ac:dyDescent="0.3">
      <c r="A593" s="1"/>
      <c r="B593" s="1"/>
      <c r="C593" s="1"/>
      <c r="D593" s="1"/>
      <c r="E593" s="1"/>
    </row>
    <row r="594" spans="1:5" x14ac:dyDescent="0.3">
      <c r="A594" s="1"/>
      <c r="B594" s="1"/>
      <c r="C594" s="1"/>
      <c r="D594" s="1"/>
      <c r="E594" s="1"/>
    </row>
    <row r="595" spans="1:5" x14ac:dyDescent="0.3">
      <c r="A595" s="1"/>
      <c r="B595" s="1"/>
      <c r="C595" s="1"/>
      <c r="D595" s="1"/>
      <c r="E595" s="1"/>
    </row>
    <row r="596" spans="1:5" x14ac:dyDescent="0.3">
      <c r="A596" s="1"/>
      <c r="B596" s="1"/>
      <c r="C596" s="1"/>
      <c r="D596" s="1"/>
      <c r="E596" s="1"/>
    </row>
    <row r="597" spans="1:5" x14ac:dyDescent="0.3">
      <c r="A597" s="1"/>
      <c r="B597" s="1"/>
      <c r="C597" s="1"/>
      <c r="D597" s="1"/>
      <c r="E597" s="1"/>
    </row>
    <row r="598" spans="1:5" x14ac:dyDescent="0.3">
      <c r="A598" s="1"/>
      <c r="B598" s="1"/>
      <c r="C598" s="1"/>
      <c r="D598" s="1"/>
      <c r="E598" s="1"/>
    </row>
    <row r="599" spans="1:5" x14ac:dyDescent="0.3">
      <c r="A599" s="1"/>
      <c r="B599" s="1"/>
      <c r="C599" s="1"/>
      <c r="D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A605" s="1"/>
      <c r="B605" s="1"/>
      <c r="C605" s="1"/>
      <c r="D605" s="1"/>
      <c r="E605" s="1"/>
    </row>
    <row r="606" spans="1:5" x14ac:dyDescent="0.3">
      <c r="A606" s="1"/>
      <c r="B606" s="1"/>
      <c r="C606" s="1"/>
      <c r="D606" s="1"/>
      <c r="E606" s="1"/>
    </row>
    <row r="607" spans="1:5" x14ac:dyDescent="0.3">
      <c r="A607" s="1"/>
      <c r="B607" s="1"/>
      <c r="C607" s="1"/>
      <c r="D607" s="1"/>
      <c r="E607" s="1"/>
    </row>
    <row r="608" spans="1:5" x14ac:dyDescent="0.3">
      <c r="A608" s="1"/>
      <c r="B608" s="1"/>
      <c r="C608" s="1"/>
      <c r="D608" s="1"/>
      <c r="E608" s="1"/>
    </row>
    <row r="609" spans="1:5" x14ac:dyDescent="0.3">
      <c r="A609" s="1"/>
      <c r="B609" s="1"/>
      <c r="C609" s="1"/>
      <c r="D609" s="1"/>
      <c r="E609" s="1"/>
    </row>
    <row r="610" spans="1:5" x14ac:dyDescent="0.3">
      <c r="A610" s="1"/>
      <c r="B610" s="1"/>
      <c r="C610" s="1"/>
      <c r="D610" s="1"/>
      <c r="E610" s="1"/>
    </row>
    <row r="611" spans="1:5" x14ac:dyDescent="0.3">
      <c r="A611" s="1"/>
      <c r="B611" s="1"/>
      <c r="C611" s="1"/>
      <c r="D611" s="1"/>
      <c r="E611" s="1"/>
    </row>
    <row r="612" spans="1:5" x14ac:dyDescent="0.3">
      <c r="A612" s="1"/>
      <c r="B612" s="1"/>
      <c r="C612" s="1"/>
      <c r="D612" s="1"/>
      <c r="E612" s="1"/>
    </row>
    <row r="613" spans="1:5" x14ac:dyDescent="0.3">
      <c r="A613" s="1"/>
      <c r="B613" s="1"/>
      <c r="C613" s="1"/>
      <c r="D613" s="1"/>
      <c r="E613" s="1"/>
    </row>
    <row r="614" spans="1:5" x14ac:dyDescent="0.3">
      <c r="A614" s="1"/>
      <c r="B614" s="1"/>
      <c r="C614" s="1"/>
      <c r="D614" s="1"/>
      <c r="E614" s="1"/>
    </row>
    <row r="615" spans="1:5" x14ac:dyDescent="0.3">
      <c r="A615" s="1"/>
      <c r="B615" s="1"/>
      <c r="C615" s="1"/>
      <c r="D615" s="1"/>
      <c r="E615" s="1"/>
    </row>
    <row r="616" spans="1:5" x14ac:dyDescent="0.3">
      <c r="A616" s="1"/>
      <c r="B616" s="1"/>
      <c r="C616" s="1"/>
      <c r="D616" s="1"/>
      <c r="E616" s="1"/>
    </row>
    <row r="617" spans="1:5" x14ac:dyDescent="0.3">
      <c r="A617" s="1"/>
      <c r="B617" s="1"/>
      <c r="C617" s="1"/>
      <c r="D617" s="1"/>
      <c r="E617" s="1"/>
    </row>
    <row r="618" spans="1:5" x14ac:dyDescent="0.3">
      <c r="A618" s="1"/>
      <c r="B618" s="1"/>
      <c r="C618" s="1"/>
      <c r="D618" s="1"/>
      <c r="E618" s="1"/>
    </row>
    <row r="619" spans="1:5" x14ac:dyDescent="0.3">
      <c r="A619" s="1"/>
      <c r="B619" s="1"/>
      <c r="C619" s="1"/>
      <c r="D619" s="1"/>
      <c r="E619" s="1"/>
    </row>
    <row r="620" spans="1:5" x14ac:dyDescent="0.3">
      <c r="A620" s="1"/>
      <c r="B620" s="1"/>
      <c r="C620" s="1"/>
      <c r="D620" s="1"/>
      <c r="E620" s="1"/>
    </row>
    <row r="621" spans="1:5" x14ac:dyDescent="0.3">
      <c r="A621" s="1"/>
      <c r="B621" s="1"/>
      <c r="C621" s="1"/>
      <c r="D621" s="1"/>
      <c r="E621" s="1"/>
    </row>
    <row r="622" spans="1:5" x14ac:dyDescent="0.3">
      <c r="A622" s="1"/>
      <c r="B622" s="1"/>
      <c r="C622" s="1"/>
      <c r="D622" s="1"/>
      <c r="E622" s="1"/>
    </row>
    <row r="623" spans="1:5" x14ac:dyDescent="0.3">
      <c r="A623" s="1"/>
      <c r="B623" s="1"/>
      <c r="C623" s="1"/>
      <c r="D623" s="1"/>
      <c r="E623" s="1"/>
    </row>
    <row r="624" spans="1:5" x14ac:dyDescent="0.3">
      <c r="A624" s="1"/>
      <c r="B624" s="1"/>
      <c r="C624" s="1"/>
      <c r="D624" s="1"/>
      <c r="E624" s="1"/>
    </row>
    <row r="625" spans="1:5" x14ac:dyDescent="0.3">
      <c r="A625" s="1"/>
      <c r="B625" s="1"/>
      <c r="C625" s="1"/>
      <c r="D625" s="1"/>
      <c r="E625" s="1"/>
    </row>
    <row r="626" spans="1:5" x14ac:dyDescent="0.3">
      <c r="A626" s="1"/>
      <c r="B626" s="1"/>
      <c r="C626" s="1"/>
      <c r="D626" s="1"/>
      <c r="E626" s="1"/>
    </row>
    <row r="627" spans="1:5" x14ac:dyDescent="0.3">
      <c r="A627" s="1"/>
      <c r="B627" s="1"/>
      <c r="C627" s="1"/>
      <c r="D627" s="1"/>
      <c r="E627" s="1"/>
    </row>
    <row r="628" spans="1:5" x14ac:dyDescent="0.3">
      <c r="A628" s="1"/>
      <c r="B628" s="1"/>
      <c r="C628" s="1"/>
      <c r="D628" s="1"/>
      <c r="E628" s="1"/>
    </row>
    <row r="629" spans="1:5" x14ac:dyDescent="0.3">
      <c r="A629" s="1"/>
      <c r="B629" s="1"/>
      <c r="C629" s="1"/>
      <c r="D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D635" s="1"/>
      <c r="E635" s="1"/>
    </row>
    <row r="636" spans="1:5" x14ac:dyDescent="0.3">
      <c r="A636" s="1"/>
      <c r="B636" s="1"/>
      <c r="C636" s="1"/>
      <c r="D636" s="1"/>
      <c r="E636" s="1"/>
    </row>
    <row r="637" spans="1:5" x14ac:dyDescent="0.3">
      <c r="A637" s="1"/>
      <c r="B637" s="1"/>
      <c r="C637" s="1"/>
      <c r="D637" s="1"/>
      <c r="E637" s="1"/>
    </row>
    <row r="638" spans="1:5" x14ac:dyDescent="0.3">
      <c r="A638" s="1"/>
      <c r="B638" s="1"/>
      <c r="C638" s="1"/>
      <c r="D638" s="1"/>
      <c r="E638" s="1"/>
    </row>
    <row r="639" spans="1:5" x14ac:dyDescent="0.3">
      <c r="A639" s="1"/>
      <c r="B639" s="1"/>
      <c r="C639" s="1"/>
      <c r="D639" s="1"/>
      <c r="E639" s="1"/>
    </row>
    <row r="640" spans="1:5" x14ac:dyDescent="0.3">
      <c r="A640" s="1"/>
      <c r="B640" s="1"/>
      <c r="C640" s="1"/>
      <c r="D640" s="1"/>
      <c r="E640" s="1"/>
    </row>
    <row r="641" spans="1:5" x14ac:dyDescent="0.3">
      <c r="A641" s="1"/>
      <c r="B641" s="1"/>
      <c r="C641" s="1"/>
      <c r="D641" s="1"/>
      <c r="E641" s="1"/>
    </row>
    <row r="642" spans="1:5" x14ac:dyDescent="0.3">
      <c r="A642" s="1"/>
      <c r="B642" s="1"/>
      <c r="C642" s="1"/>
      <c r="D642" s="1"/>
      <c r="E642" s="1"/>
    </row>
    <row r="643" spans="1:5" x14ac:dyDescent="0.3">
      <c r="A643" s="1"/>
      <c r="B643" s="1"/>
      <c r="C643" s="1"/>
      <c r="D643" s="1"/>
      <c r="E643" s="1"/>
    </row>
    <row r="644" spans="1:5" x14ac:dyDescent="0.3">
      <c r="A644" s="1"/>
      <c r="B644" s="1"/>
      <c r="C644" s="1"/>
      <c r="D644" s="1"/>
      <c r="E644" s="1"/>
    </row>
    <row r="645" spans="1:5" x14ac:dyDescent="0.3">
      <c r="A645" s="1"/>
      <c r="B645" s="1"/>
      <c r="C645" s="1"/>
      <c r="D645" s="1"/>
      <c r="E645" s="1"/>
    </row>
    <row r="646" spans="1:5" x14ac:dyDescent="0.3">
      <c r="A646" s="1"/>
      <c r="B646" s="1"/>
      <c r="C646" s="1"/>
      <c r="D646" s="1"/>
      <c r="E646" s="1"/>
    </row>
    <row r="647" spans="1:5" x14ac:dyDescent="0.3">
      <c r="A647" s="1"/>
      <c r="B647" s="1"/>
      <c r="C647" s="1"/>
      <c r="D647" s="1"/>
      <c r="E647" s="1"/>
    </row>
    <row r="648" spans="1:5" x14ac:dyDescent="0.3">
      <c r="A648" s="1"/>
      <c r="B648" s="1"/>
      <c r="C648" s="1"/>
      <c r="D648" s="1"/>
      <c r="E648" s="1"/>
    </row>
    <row r="649" spans="1:5" x14ac:dyDescent="0.3">
      <c r="A649" s="1"/>
      <c r="B649" s="1"/>
      <c r="C649" s="1"/>
      <c r="D649" s="1"/>
      <c r="E649" s="1"/>
    </row>
    <row r="650" spans="1:5" x14ac:dyDescent="0.3">
      <c r="A650" s="1"/>
      <c r="B650" s="1"/>
      <c r="C650" s="1"/>
      <c r="D650" s="1"/>
      <c r="E650" s="1"/>
    </row>
    <row r="651" spans="1:5" x14ac:dyDescent="0.3">
      <c r="A651" s="1"/>
      <c r="B651" s="1"/>
      <c r="C651" s="1"/>
      <c r="D651" s="1"/>
      <c r="E651" s="1"/>
    </row>
    <row r="652" spans="1:5" x14ac:dyDescent="0.3">
      <c r="A652" s="1"/>
      <c r="B652" s="1"/>
      <c r="C652" s="1"/>
      <c r="D652" s="1"/>
      <c r="E652" s="1"/>
    </row>
    <row r="653" spans="1:5" x14ac:dyDescent="0.3">
      <c r="A653" s="1"/>
      <c r="B653" s="1"/>
      <c r="C653" s="1"/>
      <c r="D653" s="1"/>
      <c r="E653" s="1"/>
    </row>
    <row r="654" spans="1:5" x14ac:dyDescent="0.3">
      <c r="A654" s="1"/>
      <c r="B654" s="1"/>
      <c r="C654" s="1"/>
      <c r="D654" s="1"/>
      <c r="E654" s="1"/>
    </row>
    <row r="655" spans="1:5" x14ac:dyDescent="0.3">
      <c r="A655" s="1"/>
      <c r="B655" s="1"/>
      <c r="C655" s="1"/>
      <c r="D655" s="1"/>
      <c r="E655" s="1"/>
    </row>
    <row r="656" spans="1:5" x14ac:dyDescent="0.3">
      <c r="A656" s="1"/>
      <c r="B656" s="1"/>
      <c r="C656" s="1"/>
      <c r="D656" s="1"/>
      <c r="E656" s="1"/>
    </row>
    <row r="657" spans="1:5" x14ac:dyDescent="0.3">
      <c r="A657" s="1"/>
      <c r="B657" s="1"/>
      <c r="C657" s="1"/>
      <c r="D657" s="1"/>
      <c r="E657" s="1"/>
    </row>
    <row r="658" spans="1:5" x14ac:dyDescent="0.3">
      <c r="A658" s="1"/>
      <c r="B658" s="1"/>
      <c r="C658" s="1"/>
      <c r="D658" s="1"/>
      <c r="E658" s="1"/>
    </row>
    <row r="659" spans="1:5" x14ac:dyDescent="0.3">
      <c r="A659" s="1"/>
      <c r="B659" s="1"/>
      <c r="C659" s="1"/>
      <c r="D659" s="1"/>
      <c r="E659" s="1"/>
    </row>
    <row r="660" spans="1:5" x14ac:dyDescent="0.3">
      <c r="A660" s="1"/>
      <c r="B660" s="1"/>
      <c r="C660" s="1"/>
      <c r="D660" s="1"/>
      <c r="E660" s="1"/>
    </row>
    <row r="661" spans="1:5" x14ac:dyDescent="0.3">
      <c r="A661" s="1"/>
      <c r="B661" s="1"/>
      <c r="C661" s="1"/>
      <c r="D661" s="1"/>
      <c r="E661" s="1"/>
    </row>
    <row r="662" spans="1:5" x14ac:dyDescent="0.3">
      <c r="A662" s="1"/>
      <c r="B662" s="1"/>
      <c r="C662" s="1"/>
      <c r="D662" s="1"/>
      <c r="E662" s="1"/>
    </row>
    <row r="663" spans="1:5" x14ac:dyDescent="0.3">
      <c r="A663" s="1"/>
      <c r="B663" s="1"/>
      <c r="C663" s="1"/>
      <c r="D663" s="1"/>
      <c r="E663" s="1"/>
    </row>
    <row r="664" spans="1:5" x14ac:dyDescent="0.3">
      <c r="A664" s="1"/>
      <c r="B664" s="1"/>
      <c r="C664" s="1"/>
      <c r="D664" s="1"/>
      <c r="E664" s="1"/>
    </row>
    <row r="665" spans="1:5" x14ac:dyDescent="0.3">
      <c r="A665" s="1"/>
      <c r="B665" s="1"/>
      <c r="C665" s="1"/>
      <c r="D665" s="1"/>
      <c r="E665" s="1"/>
    </row>
    <row r="666" spans="1:5" x14ac:dyDescent="0.3">
      <c r="A666" s="1"/>
      <c r="B666" s="1"/>
      <c r="C666" s="1"/>
      <c r="D666" s="1"/>
      <c r="E666" s="1"/>
    </row>
    <row r="667" spans="1:5" x14ac:dyDescent="0.3">
      <c r="A667" s="1"/>
      <c r="B667" s="1"/>
      <c r="C667" s="1"/>
      <c r="D667" s="1"/>
      <c r="E667" s="1"/>
    </row>
    <row r="668" spans="1:5" x14ac:dyDescent="0.3">
      <c r="A668" s="1"/>
      <c r="B668" s="1"/>
      <c r="C668" s="1"/>
      <c r="D668" s="1"/>
      <c r="E668" s="1"/>
    </row>
    <row r="669" spans="1:5" x14ac:dyDescent="0.3">
      <c r="A669" s="1"/>
      <c r="B669" s="1"/>
      <c r="C669" s="1"/>
      <c r="D669" s="1"/>
      <c r="E669" s="1"/>
    </row>
    <row r="670" spans="1:5" x14ac:dyDescent="0.3">
      <c r="A670" s="1"/>
      <c r="B670" s="1"/>
      <c r="C670" s="1"/>
      <c r="D670" s="1"/>
      <c r="E670" s="1"/>
    </row>
    <row r="671" spans="1:5" x14ac:dyDescent="0.3">
      <c r="A671" s="1"/>
      <c r="B671" s="1"/>
      <c r="C671" s="1"/>
      <c r="D671" s="1"/>
      <c r="E671" s="1"/>
    </row>
    <row r="672" spans="1:5" x14ac:dyDescent="0.3">
      <c r="A672" s="1"/>
      <c r="B672" s="1"/>
      <c r="C672" s="1"/>
      <c r="D672" s="1"/>
      <c r="E672" s="1"/>
    </row>
    <row r="673" spans="1:5" x14ac:dyDescent="0.3">
      <c r="A673" s="1"/>
      <c r="B673" s="1"/>
      <c r="C673" s="1"/>
      <c r="D673" s="1"/>
      <c r="E673" s="1"/>
    </row>
    <row r="674" spans="1:5" x14ac:dyDescent="0.3">
      <c r="A674" s="1"/>
      <c r="B674" s="1"/>
      <c r="C674" s="1"/>
      <c r="D674" s="1"/>
      <c r="E674" s="1"/>
    </row>
    <row r="675" spans="1:5" x14ac:dyDescent="0.3">
      <c r="A675" s="1"/>
      <c r="B675" s="1"/>
      <c r="C675" s="1"/>
      <c r="D675" s="1"/>
      <c r="E675" s="1"/>
    </row>
    <row r="676" spans="1:5" x14ac:dyDescent="0.3">
      <c r="A676" s="1"/>
      <c r="B676" s="1"/>
      <c r="C676" s="1"/>
      <c r="D676" s="1"/>
      <c r="E676" s="1"/>
    </row>
    <row r="677" spans="1:5" x14ac:dyDescent="0.3">
      <c r="A677" s="1"/>
      <c r="B677" s="1"/>
      <c r="C677" s="1"/>
      <c r="D677" s="1"/>
      <c r="E677" s="1"/>
    </row>
    <row r="678" spans="1:5" x14ac:dyDescent="0.3">
      <c r="A678" s="1"/>
      <c r="B678" s="1"/>
      <c r="C678" s="1"/>
      <c r="D678" s="1"/>
      <c r="E678" s="1"/>
    </row>
    <row r="679" spans="1:5" x14ac:dyDescent="0.3">
      <c r="A679" s="1"/>
      <c r="B679" s="1"/>
      <c r="C679" s="1"/>
      <c r="D679" s="1"/>
      <c r="E679" s="1"/>
    </row>
    <row r="680" spans="1:5" x14ac:dyDescent="0.3">
      <c r="A680" s="1"/>
      <c r="B680" s="1"/>
      <c r="C680" s="1"/>
      <c r="D680" s="1"/>
      <c r="E680" s="1"/>
    </row>
    <row r="681" spans="1:5" x14ac:dyDescent="0.3">
      <c r="A681" s="1"/>
      <c r="B681" s="1"/>
      <c r="C681" s="1"/>
      <c r="D681" s="1"/>
      <c r="E681" s="1"/>
    </row>
    <row r="682" spans="1:5" x14ac:dyDescent="0.3">
      <c r="A682" s="1"/>
      <c r="B682" s="1"/>
      <c r="C682" s="1"/>
      <c r="D682" s="1"/>
      <c r="E682" s="1"/>
    </row>
    <row r="683" spans="1:5" x14ac:dyDescent="0.3">
      <c r="A683" s="1"/>
      <c r="B683" s="1"/>
      <c r="C683" s="1"/>
      <c r="D683" s="1"/>
      <c r="E683" s="1"/>
    </row>
    <row r="684" spans="1:5" x14ac:dyDescent="0.3">
      <c r="A684" s="1"/>
      <c r="B684" s="1"/>
      <c r="C684" s="1"/>
      <c r="D684" s="1"/>
      <c r="E684" s="1"/>
    </row>
    <row r="685" spans="1:5" x14ac:dyDescent="0.3">
      <c r="A685" s="1"/>
      <c r="B685" s="1"/>
      <c r="C685" s="1"/>
      <c r="D685" s="1"/>
      <c r="E685" s="1"/>
    </row>
    <row r="686" spans="1:5" x14ac:dyDescent="0.3">
      <c r="A686" s="1"/>
      <c r="B686" s="1"/>
      <c r="C686" s="1"/>
      <c r="D686" s="1"/>
      <c r="E686" s="1"/>
    </row>
    <row r="687" spans="1:5" x14ac:dyDescent="0.3">
      <c r="A687" s="1"/>
      <c r="B687" s="1"/>
      <c r="C687" s="1"/>
      <c r="D687" s="1"/>
      <c r="E687" s="1"/>
    </row>
    <row r="688" spans="1:5" x14ac:dyDescent="0.3">
      <c r="A688" s="1"/>
      <c r="B688" s="1"/>
      <c r="C688" s="1"/>
      <c r="D688" s="1"/>
      <c r="E688" s="1"/>
    </row>
    <row r="689" spans="1:5" x14ac:dyDescent="0.3">
      <c r="A689" s="1"/>
      <c r="B689" s="1"/>
      <c r="C689" s="1"/>
      <c r="D689" s="1"/>
      <c r="E689" s="1"/>
    </row>
    <row r="690" spans="1:5" x14ac:dyDescent="0.3">
      <c r="A690" s="1"/>
      <c r="B690" s="1"/>
      <c r="C690" s="1"/>
      <c r="D690" s="1"/>
      <c r="E690" s="1"/>
    </row>
    <row r="691" spans="1:5" x14ac:dyDescent="0.3">
      <c r="A691" s="1"/>
      <c r="B691" s="1"/>
      <c r="C691" s="1"/>
      <c r="D691" s="1"/>
      <c r="E691" s="1"/>
    </row>
    <row r="692" spans="1:5" x14ac:dyDescent="0.3">
      <c r="A692" s="1"/>
      <c r="B692" s="1"/>
      <c r="C692" s="1"/>
      <c r="D692" s="1"/>
      <c r="E692" s="1"/>
    </row>
    <row r="693" spans="1:5" x14ac:dyDescent="0.3">
      <c r="A693" s="1"/>
      <c r="B693" s="1"/>
      <c r="C693" s="1"/>
      <c r="D693" s="1"/>
      <c r="E693" s="1"/>
    </row>
    <row r="694" spans="1:5" x14ac:dyDescent="0.3">
      <c r="A694" s="1"/>
      <c r="B694" s="1"/>
      <c r="C694" s="1"/>
      <c r="D694" s="1"/>
      <c r="E694" s="1"/>
    </row>
    <row r="695" spans="1:5" x14ac:dyDescent="0.3">
      <c r="A695" s="1"/>
      <c r="B695" s="1"/>
      <c r="C695" s="1"/>
      <c r="D695" s="1"/>
      <c r="E695" s="1"/>
    </row>
    <row r="696" spans="1:5" x14ac:dyDescent="0.3">
      <c r="A696" s="1"/>
      <c r="B696" s="1"/>
      <c r="C696" s="1"/>
      <c r="D696" s="1"/>
      <c r="E696" s="1"/>
    </row>
    <row r="697" spans="1:5" x14ac:dyDescent="0.3">
      <c r="A697" s="1"/>
      <c r="B697" s="1"/>
      <c r="C697" s="1"/>
      <c r="D697" s="1"/>
      <c r="E697" s="1"/>
    </row>
    <row r="698" spans="1:5" x14ac:dyDescent="0.3">
      <c r="A698" s="1"/>
      <c r="B698" s="1"/>
      <c r="C698" s="1"/>
      <c r="D698" s="1"/>
      <c r="E698" s="1"/>
    </row>
    <row r="699" spans="1:5" x14ac:dyDescent="0.3">
      <c r="A699" s="1"/>
      <c r="B699" s="1"/>
      <c r="C699" s="1"/>
      <c r="D699" s="1"/>
      <c r="E699" s="1"/>
    </row>
    <row r="700" spans="1:5" x14ac:dyDescent="0.3">
      <c r="A700" s="1"/>
      <c r="B700" s="1"/>
      <c r="C700" s="1"/>
      <c r="D700" s="1"/>
      <c r="E700" s="1"/>
    </row>
    <row r="701" spans="1:5" x14ac:dyDescent="0.3">
      <c r="A701" s="1"/>
      <c r="B701" s="1"/>
      <c r="C701" s="1"/>
      <c r="D701" s="1"/>
      <c r="E701" s="1"/>
    </row>
    <row r="702" spans="1:5" x14ac:dyDescent="0.3">
      <c r="A702" s="1"/>
      <c r="B702" s="1"/>
      <c r="C702" s="1"/>
      <c r="D702" s="1"/>
      <c r="E702" s="1"/>
    </row>
    <row r="703" spans="1:5" x14ac:dyDescent="0.3">
      <c r="A703" s="1"/>
      <c r="B703" s="1"/>
      <c r="C703" s="1"/>
      <c r="D703" s="1"/>
      <c r="E703" s="1"/>
    </row>
    <row r="704" spans="1:5" x14ac:dyDescent="0.3">
      <c r="A704" s="1"/>
      <c r="B704" s="1"/>
      <c r="C704" s="1"/>
      <c r="D704" s="1"/>
      <c r="E704" s="1"/>
    </row>
    <row r="705" spans="1:5" x14ac:dyDescent="0.3">
      <c r="A705" s="1"/>
      <c r="B705" s="1"/>
      <c r="C705" s="1"/>
      <c r="D705" s="1"/>
      <c r="E705" s="1"/>
    </row>
    <row r="706" spans="1:5" x14ac:dyDescent="0.3">
      <c r="A706" s="1"/>
      <c r="B706" s="1"/>
      <c r="C706" s="1"/>
      <c r="D706" s="1"/>
      <c r="E706" s="1"/>
    </row>
    <row r="707" spans="1:5" x14ac:dyDescent="0.3">
      <c r="A707" s="1"/>
      <c r="B707" s="1"/>
      <c r="C707" s="1"/>
      <c r="D707" s="1"/>
      <c r="E707" s="1"/>
    </row>
    <row r="708" spans="1:5" x14ac:dyDescent="0.3">
      <c r="A708" s="1"/>
      <c r="B708" s="1"/>
      <c r="C708" s="1"/>
      <c r="D708" s="1"/>
      <c r="E708" s="1"/>
    </row>
    <row r="709" spans="1:5" x14ac:dyDescent="0.3">
      <c r="A709" s="1"/>
      <c r="B709" s="1"/>
      <c r="C709" s="1"/>
      <c r="D709" s="1"/>
      <c r="E709" s="1"/>
    </row>
    <row r="710" spans="1:5" x14ac:dyDescent="0.3">
      <c r="A710" s="1"/>
      <c r="B710" s="1"/>
      <c r="C710" s="1"/>
      <c r="D710" s="1"/>
      <c r="E710" s="1"/>
    </row>
    <row r="711" spans="1:5" x14ac:dyDescent="0.3">
      <c r="A711" s="1"/>
      <c r="B711" s="1"/>
      <c r="C711" s="1"/>
      <c r="D711" s="1"/>
      <c r="E711" s="1"/>
    </row>
    <row r="712" spans="1:5" x14ac:dyDescent="0.3">
      <c r="A712" s="1"/>
      <c r="B712" s="1"/>
      <c r="C712" s="1"/>
      <c r="D712" s="1"/>
      <c r="E712" s="1"/>
    </row>
    <row r="713" spans="1:5" x14ac:dyDescent="0.3">
      <c r="A713" s="1"/>
      <c r="B713" s="1"/>
      <c r="C713" s="1"/>
      <c r="D713" s="1"/>
      <c r="E713" s="1"/>
    </row>
    <row r="714" spans="1:5" x14ac:dyDescent="0.3">
      <c r="A714" s="1"/>
      <c r="B714" s="1"/>
      <c r="C714" s="1"/>
      <c r="D714" s="1"/>
      <c r="E714" s="1"/>
    </row>
    <row r="715" spans="1:5" x14ac:dyDescent="0.3">
      <c r="A715" s="1"/>
      <c r="B715" s="1"/>
      <c r="C715" s="1"/>
      <c r="D715" s="1"/>
      <c r="E715" s="1"/>
    </row>
    <row r="716" spans="1:5" x14ac:dyDescent="0.3">
      <c r="A716" s="1"/>
      <c r="B716" s="1"/>
      <c r="C716" s="1"/>
      <c r="D716" s="1"/>
      <c r="E716" s="1"/>
    </row>
    <row r="717" spans="1:5" x14ac:dyDescent="0.3">
      <c r="A717" s="1"/>
      <c r="B717" s="1"/>
      <c r="C717" s="1"/>
      <c r="D717" s="1"/>
      <c r="E717" s="1"/>
    </row>
    <row r="718" spans="1:5" x14ac:dyDescent="0.3">
      <c r="A718" s="1"/>
      <c r="B718" s="1"/>
      <c r="C718" s="1"/>
      <c r="D718" s="1"/>
      <c r="E718" s="1"/>
    </row>
    <row r="719" spans="1:5" x14ac:dyDescent="0.3">
      <c r="A719" s="1"/>
      <c r="B719" s="1"/>
      <c r="C719" s="1"/>
      <c r="D719" s="1"/>
      <c r="E719" s="1"/>
    </row>
    <row r="720" spans="1:5" x14ac:dyDescent="0.3">
      <c r="A720" s="1"/>
      <c r="B720" s="1"/>
      <c r="C720" s="1"/>
      <c r="D720" s="1"/>
      <c r="E720" s="1"/>
    </row>
    <row r="721" spans="1:5" x14ac:dyDescent="0.3">
      <c r="A721" s="1"/>
      <c r="B721" s="1"/>
      <c r="C721" s="1"/>
      <c r="D721" s="1"/>
      <c r="E721" s="1"/>
    </row>
    <row r="722" spans="1:5" x14ac:dyDescent="0.3">
      <c r="A722" s="1"/>
      <c r="B722" s="1"/>
      <c r="C722" s="1"/>
      <c r="D722" s="1"/>
      <c r="E722" s="1"/>
    </row>
    <row r="723" spans="1:5" x14ac:dyDescent="0.3">
      <c r="A723" s="1"/>
      <c r="B723" s="1"/>
      <c r="C723" s="1"/>
      <c r="D723" s="1"/>
      <c r="E723" s="1"/>
    </row>
    <row r="724" spans="1:5" x14ac:dyDescent="0.3">
      <c r="A724" s="1"/>
      <c r="B724" s="1"/>
      <c r="C724" s="1"/>
      <c r="D724" s="1"/>
      <c r="E724" s="1"/>
    </row>
    <row r="725" spans="1:5" x14ac:dyDescent="0.3">
      <c r="A725" s="1"/>
      <c r="B725" s="1"/>
      <c r="C725" s="1"/>
      <c r="D725" s="1"/>
      <c r="E725" s="1"/>
    </row>
    <row r="726" spans="1:5" x14ac:dyDescent="0.3">
      <c r="A726" s="1"/>
      <c r="B726" s="1"/>
      <c r="C726" s="1"/>
      <c r="D726" s="1"/>
      <c r="E726" s="1"/>
    </row>
    <row r="727" spans="1:5" x14ac:dyDescent="0.3">
      <c r="A727" s="1"/>
      <c r="B727" s="1"/>
      <c r="C727" s="1"/>
      <c r="D727" s="1"/>
      <c r="E727" s="1"/>
    </row>
    <row r="728" spans="1:5" x14ac:dyDescent="0.3">
      <c r="A728" s="1"/>
      <c r="B728" s="1"/>
      <c r="C728" s="1"/>
      <c r="D728" s="1"/>
      <c r="E728" s="1"/>
    </row>
    <row r="729" spans="1:5" x14ac:dyDescent="0.3">
      <c r="A729" s="1"/>
      <c r="B729" s="1"/>
      <c r="C729" s="1"/>
      <c r="D729" s="1"/>
      <c r="E729" s="1"/>
    </row>
    <row r="730" spans="1:5" x14ac:dyDescent="0.3">
      <c r="A730" s="1"/>
      <c r="B730" s="1"/>
      <c r="C730" s="1"/>
      <c r="D730" s="1"/>
      <c r="E730" s="1"/>
    </row>
    <row r="731" spans="1:5" x14ac:dyDescent="0.3">
      <c r="A731" s="1"/>
      <c r="B731" s="1"/>
      <c r="C731" s="1"/>
      <c r="D731" s="1"/>
      <c r="E731" s="1"/>
    </row>
    <row r="732" spans="1:5" x14ac:dyDescent="0.3">
      <c r="A732" s="1"/>
      <c r="B732" s="1"/>
      <c r="C732" s="1"/>
      <c r="D732" s="1"/>
      <c r="E732" s="1"/>
    </row>
    <row r="733" spans="1:5" x14ac:dyDescent="0.3">
      <c r="A733" s="1"/>
      <c r="B733" s="1"/>
      <c r="C733" s="1"/>
      <c r="D733" s="1"/>
      <c r="E733" s="1"/>
    </row>
    <row r="734" spans="1:5" x14ac:dyDescent="0.3">
      <c r="A734" s="1"/>
      <c r="B734" s="1"/>
      <c r="C734" s="1"/>
      <c r="D734" s="1"/>
      <c r="E734" s="1"/>
    </row>
    <row r="735" spans="1:5" x14ac:dyDescent="0.3">
      <c r="A735" s="1"/>
      <c r="B735" s="1"/>
      <c r="C735" s="1"/>
      <c r="D735" s="1"/>
      <c r="E735" s="1"/>
    </row>
    <row r="736" spans="1:5" x14ac:dyDescent="0.3">
      <c r="A736" s="1"/>
      <c r="B736" s="1"/>
      <c r="C736" s="1"/>
      <c r="D736" s="1"/>
      <c r="E736" s="1"/>
    </row>
    <row r="737" spans="1:5" x14ac:dyDescent="0.3">
      <c r="A737" s="1"/>
      <c r="B737" s="1"/>
      <c r="C737" s="1"/>
      <c r="D737" s="1"/>
      <c r="E737" s="1"/>
    </row>
    <row r="738" spans="1:5" x14ac:dyDescent="0.3">
      <c r="A738" s="1"/>
      <c r="B738" s="1"/>
      <c r="C738" s="1"/>
      <c r="D738" s="1"/>
      <c r="E738" s="1"/>
    </row>
    <row r="739" spans="1:5" x14ac:dyDescent="0.3">
      <c r="A739" s="1"/>
      <c r="B739" s="1"/>
      <c r="C739" s="1"/>
      <c r="D739" s="1"/>
      <c r="E739" s="1"/>
    </row>
    <row r="740" spans="1:5" x14ac:dyDescent="0.3">
      <c r="A740" s="1"/>
      <c r="B740" s="1"/>
      <c r="C740" s="1"/>
      <c r="D740" s="1"/>
      <c r="E740" s="1"/>
    </row>
    <row r="741" spans="1:5" x14ac:dyDescent="0.3">
      <c r="A741" s="1"/>
      <c r="B741" s="1"/>
      <c r="C741" s="1"/>
      <c r="D741" s="1"/>
      <c r="E741" s="1"/>
    </row>
    <row r="742" spans="1:5" x14ac:dyDescent="0.3">
      <c r="A742" s="1"/>
      <c r="B742" s="1"/>
      <c r="C742" s="1"/>
      <c r="D742" s="1"/>
      <c r="E742" s="1"/>
    </row>
    <row r="743" spans="1:5" x14ac:dyDescent="0.3">
      <c r="A743" s="1"/>
      <c r="B743" s="1"/>
      <c r="C743" s="1"/>
      <c r="D743" s="1"/>
      <c r="E743" s="1"/>
    </row>
    <row r="744" spans="1:5" x14ac:dyDescent="0.3">
      <c r="A744" s="1"/>
      <c r="B744" s="1"/>
      <c r="C744" s="1"/>
      <c r="D744" s="1"/>
      <c r="E744" s="1"/>
    </row>
    <row r="745" spans="1:5" x14ac:dyDescent="0.3">
      <c r="A745" s="1"/>
      <c r="B745" s="1"/>
      <c r="C745" s="1"/>
      <c r="D745" s="1"/>
      <c r="E745" s="1"/>
    </row>
    <row r="746" spans="1:5" x14ac:dyDescent="0.3">
      <c r="A746" s="1"/>
      <c r="B746" s="1"/>
      <c r="C746" s="1"/>
      <c r="D746" s="1"/>
      <c r="E746" s="1"/>
    </row>
    <row r="747" spans="1:5" x14ac:dyDescent="0.3">
      <c r="A747" s="1"/>
      <c r="B747" s="1"/>
      <c r="C747" s="1"/>
      <c r="D747" s="1"/>
      <c r="E747" s="1"/>
    </row>
    <row r="748" spans="1:5" x14ac:dyDescent="0.3">
      <c r="A748" s="1"/>
      <c r="B748" s="1"/>
      <c r="C748" s="1"/>
      <c r="D748" s="1"/>
      <c r="E748" s="1"/>
    </row>
    <row r="749" spans="1:5" x14ac:dyDescent="0.3">
      <c r="A749" s="1"/>
      <c r="B749" s="1"/>
      <c r="C749" s="1"/>
      <c r="D749" s="1"/>
      <c r="E749" s="1"/>
    </row>
    <row r="750" spans="1:5" x14ac:dyDescent="0.3">
      <c r="A750" s="1"/>
      <c r="B750" s="1"/>
      <c r="C750" s="1"/>
      <c r="D750" s="1"/>
      <c r="E750" s="1"/>
    </row>
    <row r="751" spans="1:5" x14ac:dyDescent="0.3">
      <c r="A751" s="1"/>
      <c r="B751" s="1"/>
      <c r="C751" s="1"/>
      <c r="D751" s="1"/>
      <c r="E751" s="1"/>
    </row>
    <row r="752" spans="1:5" x14ac:dyDescent="0.3">
      <c r="A752" s="1"/>
      <c r="B752" s="1"/>
      <c r="C752" s="1"/>
      <c r="D752" s="1"/>
      <c r="E752" s="1"/>
    </row>
    <row r="753" spans="1:5" x14ac:dyDescent="0.3">
      <c r="A753" s="1"/>
      <c r="B753" s="1"/>
      <c r="C753" s="1"/>
      <c r="D753" s="1"/>
      <c r="E753" s="1"/>
    </row>
    <row r="754" spans="1:5" x14ac:dyDescent="0.3">
      <c r="A754" s="1"/>
      <c r="B754" s="1"/>
      <c r="C754" s="1"/>
      <c r="D754" s="1"/>
      <c r="E754" s="1"/>
    </row>
    <row r="755" spans="1:5" x14ac:dyDescent="0.3">
      <c r="A755" s="1"/>
      <c r="B755" s="1"/>
      <c r="C755" s="1"/>
      <c r="D755" s="1"/>
      <c r="E755" s="1"/>
    </row>
    <row r="756" spans="1:5" x14ac:dyDescent="0.3">
      <c r="A756" s="1"/>
      <c r="B756" s="1"/>
      <c r="C756" s="1"/>
      <c r="D756" s="1"/>
      <c r="E756" s="1"/>
    </row>
    <row r="757" spans="1:5" x14ac:dyDescent="0.3">
      <c r="A757" s="1"/>
      <c r="B757" s="1"/>
      <c r="C757" s="1"/>
      <c r="D757" s="1"/>
      <c r="E757" s="1"/>
    </row>
    <row r="758" spans="1:5" x14ac:dyDescent="0.3">
      <c r="A758" s="1"/>
      <c r="B758" s="1"/>
      <c r="C758" s="1"/>
      <c r="D758" s="1"/>
      <c r="E758" s="1"/>
    </row>
    <row r="759" spans="1:5" x14ac:dyDescent="0.3">
      <c r="A759" s="1"/>
      <c r="B759" s="1"/>
      <c r="C759" s="1"/>
      <c r="D759" s="1"/>
      <c r="E759" s="1"/>
    </row>
    <row r="760" spans="1:5" x14ac:dyDescent="0.3">
      <c r="A760" s="1"/>
      <c r="B760" s="1"/>
      <c r="C760" s="1"/>
      <c r="D760" s="1"/>
      <c r="E760" s="1"/>
    </row>
    <row r="761" spans="1:5" x14ac:dyDescent="0.3">
      <c r="A761" s="1"/>
      <c r="B761" s="1"/>
      <c r="C761" s="1"/>
      <c r="D761" s="1"/>
      <c r="E761" s="1"/>
    </row>
    <row r="762" spans="1:5" x14ac:dyDescent="0.3">
      <c r="A762" s="1"/>
      <c r="B762" s="1"/>
      <c r="C762" s="1"/>
      <c r="D762" s="1"/>
      <c r="E762" s="1"/>
    </row>
    <row r="763" spans="1:5" x14ac:dyDescent="0.3">
      <c r="A763" s="1"/>
      <c r="B763" s="1"/>
      <c r="C763" s="1"/>
      <c r="D763" s="1"/>
      <c r="E763" s="1"/>
    </row>
    <row r="764" spans="1:5" x14ac:dyDescent="0.3">
      <c r="A764" s="1"/>
      <c r="B764" s="1"/>
      <c r="C764" s="1"/>
      <c r="D764" s="1"/>
      <c r="E764" s="1"/>
    </row>
    <row r="765" spans="1:5" x14ac:dyDescent="0.3">
      <c r="A765" s="1"/>
      <c r="B765" s="1"/>
      <c r="C765" s="1"/>
      <c r="D765" s="1"/>
      <c r="E765" s="1"/>
    </row>
    <row r="766" spans="1:5" x14ac:dyDescent="0.3">
      <c r="A766" s="1"/>
      <c r="B766" s="1"/>
      <c r="C766" s="1"/>
      <c r="D766" s="1"/>
      <c r="E766" s="1"/>
    </row>
    <row r="767" spans="1:5" x14ac:dyDescent="0.3">
      <c r="A767" s="1"/>
      <c r="B767" s="1"/>
      <c r="C767" s="1"/>
      <c r="D767" s="1"/>
      <c r="E767" s="1"/>
    </row>
    <row r="768" spans="1:5" x14ac:dyDescent="0.3">
      <c r="A768" s="1"/>
      <c r="B768" s="1"/>
      <c r="C768" s="1"/>
      <c r="D768" s="1"/>
      <c r="E768" s="1"/>
    </row>
    <row r="769" spans="1:5" x14ac:dyDescent="0.3">
      <c r="A769" s="1"/>
      <c r="B769" s="1"/>
      <c r="C769" s="1"/>
      <c r="D769" s="1"/>
      <c r="E769" s="1"/>
    </row>
    <row r="770" spans="1:5" x14ac:dyDescent="0.3">
      <c r="A770" s="1"/>
      <c r="B770" s="1"/>
      <c r="C770" s="1"/>
      <c r="D770" s="1"/>
      <c r="E770" s="1"/>
    </row>
    <row r="771" spans="1:5" x14ac:dyDescent="0.3">
      <c r="A771" s="1"/>
      <c r="B771" s="1"/>
      <c r="C771" s="1"/>
      <c r="D771" s="1"/>
      <c r="E771" s="1"/>
    </row>
    <row r="772" spans="1:5" x14ac:dyDescent="0.3">
      <c r="A772" s="1"/>
      <c r="B772" s="1"/>
      <c r="C772" s="1"/>
      <c r="D772" s="1"/>
      <c r="E772" s="1"/>
    </row>
    <row r="773" spans="1:5" x14ac:dyDescent="0.3">
      <c r="A773" s="1"/>
      <c r="B773" s="1"/>
      <c r="C773" s="1"/>
      <c r="D773" s="1"/>
      <c r="E773" s="1"/>
    </row>
    <row r="774" spans="1:5" x14ac:dyDescent="0.3">
      <c r="A774" s="1"/>
      <c r="B774" s="1"/>
      <c r="C774" s="1"/>
      <c r="D774" s="1"/>
      <c r="E774" s="1"/>
    </row>
    <row r="775" spans="1:5" x14ac:dyDescent="0.3">
      <c r="A775" s="1"/>
      <c r="B775" s="1"/>
      <c r="C775" s="1"/>
      <c r="D775" s="1"/>
      <c r="E775" s="1"/>
    </row>
    <row r="776" spans="1:5" x14ac:dyDescent="0.3">
      <c r="A776" s="1"/>
      <c r="B776" s="1"/>
      <c r="C776" s="1"/>
      <c r="D776" s="1"/>
      <c r="E776" s="1"/>
    </row>
    <row r="777" spans="1:5" x14ac:dyDescent="0.3">
      <c r="A777" s="1"/>
      <c r="B777" s="1"/>
      <c r="C777" s="1"/>
      <c r="D777" s="1"/>
      <c r="E777" s="1"/>
    </row>
    <row r="778" spans="1:5" x14ac:dyDescent="0.3">
      <c r="A778" s="1"/>
      <c r="B778" s="1"/>
      <c r="C778" s="1"/>
      <c r="D778" s="1"/>
      <c r="E778" s="1"/>
    </row>
    <row r="779" spans="1:5" x14ac:dyDescent="0.3">
      <c r="A779" s="1"/>
      <c r="B779" s="1"/>
      <c r="C779" s="1"/>
      <c r="D779" s="1"/>
      <c r="E779" s="1"/>
    </row>
    <row r="780" spans="1:5" x14ac:dyDescent="0.3">
      <c r="A780" s="1"/>
      <c r="B780" s="1"/>
      <c r="C780" s="1"/>
      <c r="D780" s="1"/>
      <c r="E780" s="1"/>
    </row>
    <row r="781" spans="1:5" x14ac:dyDescent="0.3">
      <c r="A781" s="1"/>
      <c r="B781" s="1"/>
      <c r="C781" s="1"/>
      <c r="D781" s="1"/>
      <c r="E781" s="1"/>
    </row>
    <row r="782" spans="1:5" x14ac:dyDescent="0.3">
      <c r="A782" s="1"/>
      <c r="B782" s="1"/>
      <c r="C782" s="1"/>
      <c r="D782" s="1"/>
      <c r="E782" s="1"/>
    </row>
    <row r="783" spans="1:5" x14ac:dyDescent="0.3">
      <c r="A783" s="1"/>
      <c r="B783" s="1"/>
      <c r="C783" s="1"/>
      <c r="D783" s="1"/>
      <c r="E783" s="1"/>
    </row>
    <row r="784" spans="1:5" x14ac:dyDescent="0.3">
      <c r="A784" s="1"/>
      <c r="B784" s="1"/>
      <c r="C784" s="1"/>
      <c r="D784" s="1"/>
      <c r="E784" s="1"/>
    </row>
    <row r="785" spans="1:5" x14ac:dyDescent="0.3">
      <c r="A785" s="1"/>
      <c r="B785" s="1"/>
      <c r="C785" s="1"/>
      <c r="D785" s="1"/>
      <c r="E785" s="1"/>
    </row>
    <row r="786" spans="1:5" x14ac:dyDescent="0.3">
      <c r="A786" s="1"/>
      <c r="B786" s="1"/>
      <c r="C786" s="1"/>
      <c r="D786" s="1"/>
      <c r="E786" s="1"/>
    </row>
    <row r="787" spans="1:5" x14ac:dyDescent="0.3">
      <c r="A787" s="1"/>
      <c r="B787" s="1"/>
      <c r="C787" s="1"/>
      <c r="D787" s="1"/>
      <c r="E787" s="1"/>
    </row>
    <row r="788" spans="1:5" x14ac:dyDescent="0.3">
      <c r="A788" s="1"/>
      <c r="B788" s="1"/>
      <c r="C788" s="1"/>
      <c r="D788" s="1"/>
      <c r="E788" s="1"/>
    </row>
    <row r="789" spans="1:5" x14ac:dyDescent="0.3">
      <c r="A789" s="1"/>
      <c r="B789" s="1"/>
      <c r="C789" s="1"/>
      <c r="D789" s="1"/>
      <c r="E789" s="1"/>
    </row>
    <row r="790" spans="1:5" x14ac:dyDescent="0.3">
      <c r="A790" s="1"/>
      <c r="B790" s="1"/>
      <c r="C790" s="1"/>
      <c r="D790" s="1"/>
      <c r="E790" s="1"/>
    </row>
    <row r="791" spans="1:5" x14ac:dyDescent="0.3">
      <c r="A791" s="1"/>
      <c r="B791" s="1"/>
      <c r="C791" s="1"/>
      <c r="D791" s="1"/>
      <c r="E791" s="1"/>
    </row>
    <row r="792" spans="1:5" x14ac:dyDescent="0.3">
      <c r="A792" s="1"/>
      <c r="B792" s="1"/>
      <c r="C792" s="1"/>
      <c r="D792" s="1"/>
      <c r="E792" s="1"/>
    </row>
    <row r="793" spans="1:5" x14ac:dyDescent="0.3">
      <c r="A793" s="1"/>
      <c r="B793" s="1"/>
      <c r="C793" s="1"/>
      <c r="D793" s="1"/>
      <c r="E793" s="1"/>
    </row>
    <row r="794" spans="1:5" x14ac:dyDescent="0.3">
      <c r="A794" s="1"/>
      <c r="B794" s="1"/>
      <c r="C794" s="1"/>
      <c r="D794" s="1"/>
      <c r="E794" s="1"/>
    </row>
    <row r="795" spans="1:5" x14ac:dyDescent="0.3">
      <c r="A795" s="1"/>
      <c r="B795" s="1"/>
      <c r="C795" s="1"/>
      <c r="D795" s="1"/>
      <c r="E795" s="1"/>
    </row>
    <row r="796" spans="1:5" x14ac:dyDescent="0.3">
      <c r="A796" s="1"/>
      <c r="B796" s="1"/>
      <c r="C796" s="1"/>
      <c r="D796" s="1"/>
      <c r="E796" s="1"/>
    </row>
    <row r="797" spans="1:5" x14ac:dyDescent="0.3">
      <c r="A797" s="1"/>
      <c r="B797" s="1"/>
      <c r="C797" s="1"/>
      <c r="D797" s="1"/>
      <c r="E797" s="1"/>
    </row>
    <row r="798" spans="1:5" x14ac:dyDescent="0.3">
      <c r="A798" s="1"/>
      <c r="B798" s="1"/>
      <c r="C798" s="1"/>
      <c r="D798" s="1"/>
      <c r="E798" s="1"/>
    </row>
    <row r="799" spans="1:5" x14ac:dyDescent="0.3">
      <c r="A799" s="1"/>
      <c r="B799" s="1"/>
      <c r="C799" s="1"/>
      <c r="D799" s="1"/>
      <c r="E799" s="1"/>
    </row>
    <row r="800" spans="1:5" x14ac:dyDescent="0.3">
      <c r="A800" s="1"/>
      <c r="B800" s="1"/>
      <c r="C800" s="1"/>
      <c r="D800" s="1"/>
      <c r="E800" s="1"/>
    </row>
    <row r="801" spans="1:5" x14ac:dyDescent="0.3">
      <c r="A801" s="1"/>
      <c r="B801" s="1"/>
      <c r="C801" s="1"/>
      <c r="D801" s="1"/>
      <c r="E801" s="1"/>
    </row>
    <row r="802" spans="1:5" x14ac:dyDescent="0.3">
      <c r="A802" s="1"/>
      <c r="B802" s="1"/>
      <c r="C802" s="1"/>
      <c r="D802" s="1"/>
      <c r="E802" s="1"/>
    </row>
    <row r="803" spans="1:5" x14ac:dyDescent="0.3">
      <c r="A803" s="1"/>
      <c r="B803" s="1"/>
      <c r="C803" s="1"/>
      <c r="D803" s="1"/>
      <c r="E803" s="1"/>
    </row>
    <row r="804" spans="1:5" x14ac:dyDescent="0.3">
      <c r="A804" s="1"/>
      <c r="B804" s="1"/>
      <c r="C804" s="1"/>
      <c r="D804" s="1"/>
      <c r="E804" s="1"/>
    </row>
    <row r="805" spans="1:5" x14ac:dyDescent="0.3">
      <c r="A805" s="1"/>
      <c r="B805" s="1"/>
      <c r="C805" s="1"/>
      <c r="D805" s="1"/>
      <c r="E805" s="1"/>
    </row>
    <row r="806" spans="1:5" x14ac:dyDescent="0.3">
      <c r="A806" s="1"/>
      <c r="B806" s="1"/>
      <c r="C806" s="1"/>
      <c r="D806" s="1"/>
      <c r="E806" s="1"/>
    </row>
    <row r="807" spans="1:5" x14ac:dyDescent="0.3">
      <c r="A807" s="1"/>
      <c r="B807" s="1"/>
      <c r="C807" s="1"/>
      <c r="D807" s="1"/>
      <c r="E807" s="1"/>
    </row>
    <row r="808" spans="1:5" x14ac:dyDescent="0.3">
      <c r="A808" s="1"/>
      <c r="B808" s="1"/>
      <c r="C808" s="1"/>
      <c r="D808" s="1"/>
      <c r="E808" s="1"/>
    </row>
    <row r="809" spans="1:5" x14ac:dyDescent="0.3">
      <c r="A809" s="1"/>
      <c r="B809" s="1"/>
      <c r="C809" s="1"/>
      <c r="D809" s="1"/>
      <c r="E809" s="1"/>
    </row>
    <row r="810" spans="1:5" x14ac:dyDescent="0.3">
      <c r="A810" s="1"/>
      <c r="B810" s="1"/>
      <c r="C810" s="1"/>
      <c r="D810" s="1"/>
      <c r="E810" s="1"/>
    </row>
    <row r="811" spans="1:5" x14ac:dyDescent="0.3">
      <c r="A811" s="1"/>
      <c r="B811" s="1"/>
      <c r="C811" s="1"/>
      <c r="D811" s="1"/>
      <c r="E811" s="1"/>
    </row>
    <row r="812" spans="1:5" x14ac:dyDescent="0.3">
      <c r="A812" s="1"/>
      <c r="B812" s="1"/>
      <c r="C812" s="1"/>
      <c r="D812" s="1"/>
      <c r="E812" s="1"/>
    </row>
    <row r="813" spans="1:5" x14ac:dyDescent="0.3">
      <c r="A813" s="1"/>
      <c r="B813" s="1"/>
      <c r="C813" s="1"/>
      <c r="D813" s="1"/>
      <c r="E813" s="1"/>
    </row>
    <row r="814" spans="1:5" x14ac:dyDescent="0.3">
      <c r="A814" s="1"/>
      <c r="B814" s="1"/>
      <c r="C814" s="1"/>
      <c r="D814" s="1"/>
      <c r="E814" s="1"/>
    </row>
    <row r="815" spans="1:5" x14ac:dyDescent="0.3">
      <c r="A815" s="1"/>
      <c r="B815" s="1"/>
      <c r="C815" s="1"/>
      <c r="D815" s="1"/>
      <c r="E815" s="1"/>
    </row>
    <row r="816" spans="1:5" x14ac:dyDescent="0.3">
      <c r="A816" s="1"/>
      <c r="B816" s="1"/>
      <c r="C816" s="1"/>
      <c r="D816" s="1"/>
      <c r="E816" s="1"/>
    </row>
    <row r="817" spans="1:5" x14ac:dyDescent="0.3">
      <c r="A817" s="1"/>
      <c r="B817" s="1"/>
      <c r="C817" s="1"/>
      <c r="D817" s="1"/>
      <c r="E817" s="1"/>
    </row>
    <row r="818" spans="1:5" x14ac:dyDescent="0.3">
      <c r="A818" s="1"/>
      <c r="B818" s="1"/>
      <c r="C818" s="1"/>
      <c r="D818" s="1"/>
      <c r="E818" s="1"/>
    </row>
    <row r="819" spans="1:5" x14ac:dyDescent="0.3">
      <c r="A819" s="1"/>
      <c r="B819" s="1"/>
      <c r="C819" s="1"/>
      <c r="D819" s="1"/>
      <c r="E819" s="1"/>
    </row>
    <row r="820" spans="1:5" x14ac:dyDescent="0.3">
      <c r="A820" s="1"/>
      <c r="B820" s="1"/>
      <c r="C820" s="1"/>
      <c r="D820" s="1"/>
      <c r="E820" s="1"/>
    </row>
    <row r="821" spans="1:5" x14ac:dyDescent="0.3">
      <c r="A821" s="1"/>
      <c r="B821" s="1"/>
      <c r="C821" s="1"/>
      <c r="D821" s="1"/>
      <c r="E821" s="1"/>
    </row>
    <row r="822" spans="1:5" x14ac:dyDescent="0.3">
      <c r="A822" s="1"/>
      <c r="B822" s="1"/>
      <c r="C822" s="1"/>
      <c r="D822" s="1"/>
      <c r="E822" s="1"/>
    </row>
    <row r="823" spans="1:5" x14ac:dyDescent="0.3">
      <c r="A823" s="1"/>
      <c r="B823" s="1"/>
      <c r="C823" s="1"/>
      <c r="D823" s="1"/>
      <c r="E823" s="1"/>
    </row>
    <row r="824" spans="1:5" x14ac:dyDescent="0.3">
      <c r="A824" s="1"/>
      <c r="B824" s="1"/>
      <c r="C824" s="1"/>
      <c r="D824" s="1"/>
      <c r="E824" s="1"/>
    </row>
    <row r="825" spans="1:5" x14ac:dyDescent="0.3">
      <c r="A825" s="1"/>
      <c r="B825" s="1"/>
      <c r="C825" s="1"/>
      <c r="D825" s="1"/>
      <c r="E825" s="1"/>
    </row>
    <row r="826" spans="1:5" x14ac:dyDescent="0.3">
      <c r="A826" s="1"/>
      <c r="B826" s="1"/>
      <c r="C826" s="1"/>
      <c r="D826" s="1"/>
      <c r="E826" s="1"/>
    </row>
    <row r="827" spans="1:5" x14ac:dyDescent="0.3">
      <c r="A827" s="1"/>
      <c r="B827" s="1"/>
      <c r="C827" s="1"/>
      <c r="D827" s="1"/>
      <c r="E827" s="1"/>
    </row>
    <row r="828" spans="1:5" x14ac:dyDescent="0.3">
      <c r="A828" s="1"/>
      <c r="B828" s="1"/>
      <c r="C828" s="1"/>
      <c r="D828" s="1"/>
      <c r="E828" s="1"/>
    </row>
    <row r="829" spans="1:5" x14ac:dyDescent="0.3">
      <c r="A829" s="1"/>
      <c r="B829" s="1"/>
      <c r="C829" s="1"/>
      <c r="D829" s="1"/>
      <c r="E829" s="1"/>
    </row>
    <row r="830" spans="1:5" x14ac:dyDescent="0.3">
      <c r="A830" s="1"/>
      <c r="B830" s="1"/>
      <c r="C830" s="1"/>
      <c r="D830" s="1"/>
      <c r="E830" s="1"/>
    </row>
    <row r="831" spans="1:5" x14ac:dyDescent="0.3">
      <c r="A831" s="1"/>
      <c r="B831" s="1"/>
      <c r="C831" s="1"/>
      <c r="D831" s="1"/>
      <c r="E831" s="1"/>
    </row>
    <row r="832" spans="1:5" x14ac:dyDescent="0.3">
      <c r="A832" s="1"/>
      <c r="B832" s="1"/>
      <c r="C832" s="1"/>
      <c r="D832" s="1"/>
      <c r="E832" s="1"/>
    </row>
    <row r="833" spans="1:5" x14ac:dyDescent="0.3">
      <c r="A833" s="1"/>
      <c r="B833" s="1"/>
      <c r="C833" s="1"/>
      <c r="D833" s="1"/>
      <c r="E833" s="1"/>
    </row>
    <row r="834" spans="1:5" x14ac:dyDescent="0.3">
      <c r="A834" s="1"/>
      <c r="B834" s="1"/>
      <c r="C834" s="1"/>
      <c r="D834" s="1"/>
      <c r="E834" s="1"/>
    </row>
    <row r="835" spans="1:5" x14ac:dyDescent="0.3">
      <c r="A835" s="1"/>
      <c r="B835" s="1"/>
      <c r="C835" s="1"/>
      <c r="D835" s="1"/>
      <c r="E835" s="1"/>
    </row>
    <row r="836" spans="1:5" x14ac:dyDescent="0.3">
      <c r="A836" s="1"/>
      <c r="B836" s="1"/>
      <c r="C836" s="1"/>
      <c r="D836" s="1"/>
      <c r="E836" s="1"/>
    </row>
    <row r="837" spans="1:5" x14ac:dyDescent="0.3">
      <c r="A837" s="1"/>
      <c r="B837" s="1"/>
      <c r="C837" s="1"/>
      <c r="D837" s="1"/>
      <c r="E837" s="1"/>
    </row>
    <row r="838" spans="1:5" x14ac:dyDescent="0.3">
      <c r="A838" s="1"/>
      <c r="B838" s="1"/>
      <c r="C838" s="1"/>
      <c r="D838" s="1"/>
      <c r="E838" s="1"/>
    </row>
    <row r="839" spans="1:5" x14ac:dyDescent="0.3">
      <c r="A839" s="1"/>
      <c r="B839" s="1"/>
      <c r="C839" s="1"/>
      <c r="D839" s="1"/>
      <c r="E839" s="1"/>
    </row>
    <row r="840" spans="1:5" x14ac:dyDescent="0.3">
      <c r="A840" s="1"/>
      <c r="B840" s="1"/>
      <c r="C840" s="1"/>
      <c r="D840" s="1"/>
      <c r="E840" s="1"/>
    </row>
    <row r="841" spans="1:5" x14ac:dyDescent="0.3">
      <c r="A841" s="1"/>
      <c r="B841" s="1"/>
      <c r="C841" s="1"/>
      <c r="D841" s="1"/>
      <c r="E841" s="1"/>
    </row>
    <row r="842" spans="1:5" x14ac:dyDescent="0.3">
      <c r="A842" s="1"/>
      <c r="B842" s="1"/>
      <c r="C842" s="1"/>
      <c r="D842" s="1"/>
      <c r="E842" s="1"/>
    </row>
    <row r="843" spans="1:5" x14ac:dyDescent="0.3">
      <c r="A843" s="1"/>
      <c r="B843" s="1"/>
      <c r="C843" s="1"/>
      <c r="D843" s="1"/>
      <c r="E843" s="1"/>
    </row>
    <row r="844" spans="1:5" x14ac:dyDescent="0.3">
      <c r="A844" s="1"/>
      <c r="B844" s="1"/>
      <c r="C844" s="1"/>
      <c r="D844" s="1"/>
      <c r="E844" s="1"/>
    </row>
    <row r="845" spans="1:5" x14ac:dyDescent="0.3">
      <c r="A845" s="1"/>
      <c r="B845" s="1"/>
      <c r="C845" s="1"/>
      <c r="D845" s="1"/>
      <c r="E845" s="1"/>
    </row>
    <row r="846" spans="1:5" x14ac:dyDescent="0.3">
      <c r="A846" s="1"/>
      <c r="B846" s="1"/>
      <c r="C846" s="1"/>
      <c r="D846" s="1"/>
      <c r="E846" s="1"/>
    </row>
    <row r="847" spans="1:5" x14ac:dyDescent="0.3">
      <c r="A847" s="1"/>
      <c r="B847" s="1"/>
      <c r="C847" s="1"/>
      <c r="D847" s="1"/>
      <c r="E847" s="1"/>
    </row>
    <row r="848" spans="1:5" x14ac:dyDescent="0.3">
      <c r="A848" s="1"/>
      <c r="B848" s="1"/>
      <c r="C848" s="1"/>
      <c r="D848" s="1"/>
      <c r="E848" s="1"/>
    </row>
    <row r="849" spans="1:5" x14ac:dyDescent="0.3">
      <c r="A849" s="1"/>
      <c r="B849" s="1"/>
      <c r="C849" s="1"/>
      <c r="D849" s="1"/>
      <c r="E849" s="1"/>
    </row>
    <row r="850" spans="1:5" x14ac:dyDescent="0.3">
      <c r="A850" s="1"/>
      <c r="B850" s="1"/>
      <c r="C850" s="1"/>
      <c r="D850" s="1"/>
      <c r="E850" s="1"/>
    </row>
    <row r="851" spans="1:5" x14ac:dyDescent="0.3">
      <c r="A851" s="1"/>
      <c r="B851" s="1"/>
      <c r="C851" s="1"/>
      <c r="D851" s="1"/>
      <c r="E851" s="1"/>
    </row>
    <row r="852" spans="1:5" x14ac:dyDescent="0.3">
      <c r="A852" s="1"/>
      <c r="B852" s="1"/>
      <c r="C852" s="1"/>
      <c r="D852" s="1"/>
      <c r="E852" s="1"/>
    </row>
    <row r="853" spans="1:5" x14ac:dyDescent="0.3">
      <c r="A853" s="1"/>
      <c r="B853" s="1"/>
      <c r="C853" s="1"/>
      <c r="D853" s="1"/>
      <c r="E853" s="1"/>
    </row>
    <row r="854" spans="1:5" x14ac:dyDescent="0.3">
      <c r="A854" s="1"/>
      <c r="B854" s="1"/>
      <c r="C854" s="1"/>
      <c r="D854" s="1"/>
      <c r="E854" s="1"/>
    </row>
    <row r="855" spans="1:5" x14ac:dyDescent="0.3">
      <c r="A855" s="1"/>
      <c r="B855" s="1"/>
      <c r="C855" s="1"/>
      <c r="D855" s="1"/>
      <c r="E855" s="1"/>
    </row>
    <row r="856" spans="1:5" x14ac:dyDescent="0.3">
      <c r="A856" s="1"/>
      <c r="B856" s="1"/>
      <c r="C856" s="1"/>
      <c r="D856" s="1"/>
      <c r="E856" s="1"/>
    </row>
    <row r="857" spans="1:5" x14ac:dyDescent="0.3">
      <c r="A857" s="1"/>
      <c r="B857" s="1"/>
      <c r="C857" s="1"/>
      <c r="D857" s="1"/>
      <c r="E857" s="1"/>
    </row>
    <row r="858" spans="1:5" x14ac:dyDescent="0.3">
      <c r="A858" s="1"/>
      <c r="B858" s="1"/>
      <c r="C858" s="1"/>
      <c r="D858" s="1"/>
      <c r="E858" s="1"/>
    </row>
    <row r="859" spans="1:5" x14ac:dyDescent="0.3">
      <c r="A859" s="1"/>
      <c r="B859" s="1"/>
      <c r="C859" s="1"/>
      <c r="D859" s="1"/>
      <c r="E859" s="1"/>
    </row>
    <row r="860" spans="1:5" x14ac:dyDescent="0.3">
      <c r="A860" s="1"/>
      <c r="B860" s="1"/>
      <c r="C860" s="1"/>
      <c r="D860" s="1"/>
      <c r="E860" s="1"/>
    </row>
    <row r="861" spans="1:5" x14ac:dyDescent="0.3">
      <c r="A861" s="1"/>
      <c r="B861" s="1"/>
      <c r="C861" s="1"/>
      <c r="D861" s="1"/>
      <c r="E861" s="1"/>
    </row>
    <row r="862" spans="1:5" x14ac:dyDescent="0.3">
      <c r="A862" s="1"/>
      <c r="B862" s="1"/>
      <c r="C862" s="1"/>
      <c r="D862" s="1"/>
      <c r="E862" s="1"/>
    </row>
    <row r="863" spans="1:5" x14ac:dyDescent="0.3">
      <c r="A863" s="1"/>
      <c r="B863" s="1"/>
      <c r="C863" s="1"/>
      <c r="D863" s="1"/>
      <c r="E863" s="1"/>
    </row>
    <row r="864" spans="1:5" x14ac:dyDescent="0.3">
      <c r="A864" s="1"/>
      <c r="B864" s="1"/>
      <c r="C864" s="1"/>
      <c r="D864" s="1"/>
      <c r="E864" s="1"/>
    </row>
    <row r="865" spans="1:5" x14ac:dyDescent="0.3">
      <c r="A865" s="1"/>
      <c r="B865" s="1"/>
      <c r="C865" s="1"/>
      <c r="D865" s="1"/>
      <c r="E865" s="1"/>
    </row>
    <row r="866" spans="1:5" x14ac:dyDescent="0.3">
      <c r="A866" s="1"/>
      <c r="B866" s="1"/>
      <c r="C866" s="1"/>
      <c r="D866" s="1"/>
      <c r="E866" s="1"/>
    </row>
    <row r="867" spans="1:5" x14ac:dyDescent="0.3">
      <c r="A867" s="1"/>
      <c r="B867" s="1"/>
      <c r="C867" s="1"/>
      <c r="D867" s="1"/>
      <c r="E867" s="1"/>
    </row>
    <row r="868" spans="1:5" x14ac:dyDescent="0.3">
      <c r="A868" s="1"/>
      <c r="B868" s="1"/>
      <c r="C868" s="1"/>
      <c r="D868" s="1"/>
      <c r="E868" s="1"/>
    </row>
    <row r="869" spans="1:5" x14ac:dyDescent="0.3">
      <c r="A869" s="1"/>
      <c r="B869" s="1"/>
      <c r="C869" s="1"/>
      <c r="D869" s="1"/>
      <c r="E869" s="1"/>
    </row>
    <row r="870" spans="1:5" x14ac:dyDescent="0.3">
      <c r="A870" s="1"/>
      <c r="B870" s="1"/>
      <c r="C870" s="1"/>
      <c r="D870" s="1"/>
      <c r="E870" s="1"/>
    </row>
    <row r="871" spans="1:5" x14ac:dyDescent="0.3">
      <c r="A871" s="1"/>
      <c r="B871" s="1"/>
      <c r="C871" s="1"/>
      <c r="D871" s="1"/>
      <c r="E871" s="1"/>
    </row>
    <row r="872" spans="1:5" x14ac:dyDescent="0.3">
      <c r="A872" s="1"/>
      <c r="B872" s="1"/>
      <c r="C872" s="1"/>
      <c r="D872" s="1"/>
      <c r="E872" s="1"/>
    </row>
    <row r="873" spans="1:5" x14ac:dyDescent="0.3">
      <c r="A873" s="1"/>
      <c r="B873" s="1"/>
      <c r="C873" s="1"/>
      <c r="D873" s="1"/>
      <c r="E873" s="1"/>
    </row>
    <row r="874" spans="1:5" x14ac:dyDescent="0.3">
      <c r="A874" s="1"/>
      <c r="B874" s="1"/>
      <c r="C874" s="1"/>
      <c r="D874" s="1"/>
      <c r="E874" s="1"/>
    </row>
    <row r="875" spans="1:5" x14ac:dyDescent="0.3">
      <c r="A875" s="1"/>
      <c r="B875" s="1"/>
      <c r="C875" s="1"/>
      <c r="D875" s="1"/>
      <c r="E875" s="1"/>
    </row>
    <row r="876" spans="1:5" x14ac:dyDescent="0.3">
      <c r="A876" s="1"/>
      <c r="B876" s="1"/>
      <c r="C876" s="1"/>
      <c r="D876" s="1"/>
      <c r="E876" s="1"/>
    </row>
    <row r="877" spans="1:5" x14ac:dyDescent="0.3">
      <c r="A877" s="1"/>
      <c r="B877" s="1"/>
      <c r="C877" s="1"/>
      <c r="D877" s="1"/>
      <c r="E877" s="1"/>
    </row>
    <row r="878" spans="1:5" x14ac:dyDescent="0.3">
      <c r="A878" s="1"/>
      <c r="B878" s="1"/>
      <c r="C878" s="1"/>
      <c r="D878" s="1"/>
      <c r="E878" s="1"/>
    </row>
    <row r="879" spans="1:5" x14ac:dyDescent="0.3">
      <c r="A879" s="1"/>
      <c r="B879" s="1"/>
      <c r="C879" s="1"/>
      <c r="D879" s="1"/>
      <c r="E879" s="1"/>
    </row>
    <row r="880" spans="1:5" x14ac:dyDescent="0.3">
      <c r="A880" s="1"/>
      <c r="B880" s="1"/>
      <c r="C880" s="1"/>
      <c r="D880" s="1"/>
      <c r="E880" s="1"/>
    </row>
    <row r="881" spans="1:5" x14ac:dyDescent="0.3">
      <c r="A881" s="1"/>
      <c r="B881" s="1"/>
      <c r="C881" s="1"/>
      <c r="D881" s="1"/>
      <c r="E881" s="1"/>
    </row>
    <row r="882" spans="1:5" x14ac:dyDescent="0.3">
      <c r="A882" s="1"/>
      <c r="B882" s="1"/>
      <c r="C882" s="1"/>
      <c r="D882" s="1"/>
      <c r="E882" s="1"/>
    </row>
    <row r="883" spans="1:5" x14ac:dyDescent="0.3">
      <c r="A883" s="1"/>
      <c r="B883" s="1"/>
      <c r="C883" s="1"/>
      <c r="D883" s="1"/>
      <c r="E883" s="1"/>
    </row>
    <row r="884" spans="1:5" x14ac:dyDescent="0.3">
      <c r="A884" s="1"/>
      <c r="B884" s="1"/>
      <c r="C884" s="1"/>
      <c r="D884" s="1"/>
      <c r="E884" s="1"/>
    </row>
    <row r="885" spans="1:5" x14ac:dyDescent="0.3">
      <c r="A885" s="1"/>
      <c r="B885" s="1"/>
      <c r="C885" s="1"/>
      <c r="D885" s="1"/>
      <c r="E885" s="1"/>
    </row>
    <row r="886" spans="1:5" x14ac:dyDescent="0.3">
      <c r="A886" s="1"/>
      <c r="B886" s="1"/>
      <c r="C886" s="1"/>
      <c r="D886" s="1"/>
      <c r="E886" s="1"/>
    </row>
    <row r="887" spans="1:5" x14ac:dyDescent="0.3">
      <c r="A887" s="1"/>
      <c r="B887" s="1"/>
      <c r="C887" s="1"/>
      <c r="D887" s="1"/>
      <c r="E887" s="1"/>
    </row>
    <row r="888" spans="1:5" x14ac:dyDescent="0.3">
      <c r="A888" s="1"/>
      <c r="B888" s="1"/>
      <c r="C888" s="1"/>
      <c r="D888" s="1"/>
      <c r="E888" s="1"/>
    </row>
    <row r="889" spans="1:5" x14ac:dyDescent="0.3">
      <c r="A889" s="1"/>
      <c r="B889" s="1"/>
      <c r="C889" s="1"/>
      <c r="D889" s="1"/>
      <c r="E889" s="1"/>
    </row>
    <row r="890" spans="1:5" x14ac:dyDescent="0.3">
      <c r="A890" s="1"/>
      <c r="B890" s="1"/>
      <c r="C890" s="1"/>
      <c r="D890" s="1"/>
      <c r="E890" s="1"/>
    </row>
    <row r="891" spans="1:5" x14ac:dyDescent="0.3">
      <c r="A891" s="1"/>
      <c r="B891" s="1"/>
      <c r="C891" s="1"/>
      <c r="D891" s="1"/>
      <c r="E891" s="1"/>
    </row>
    <row r="892" spans="1:5" x14ac:dyDescent="0.3">
      <c r="A892" s="1"/>
      <c r="B892" s="1"/>
      <c r="C892" s="1"/>
      <c r="D892" s="1"/>
      <c r="E892" s="1"/>
    </row>
    <row r="893" spans="1:5" x14ac:dyDescent="0.3">
      <c r="A893" s="1"/>
      <c r="B893" s="1"/>
      <c r="C893" s="1"/>
      <c r="D893" s="1"/>
      <c r="E893" s="1"/>
    </row>
    <row r="894" spans="1:5" x14ac:dyDescent="0.3">
      <c r="A894" s="1"/>
      <c r="B894" s="1"/>
      <c r="C894" s="1"/>
      <c r="D894" s="1"/>
      <c r="E894" s="1"/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x14ac:dyDescent="0.3">
      <c r="A897" s="1"/>
      <c r="B897" s="1"/>
      <c r="C897" s="1"/>
      <c r="D897" s="1"/>
      <c r="E897" s="1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1"/>
      <c r="B899" s="1"/>
      <c r="C899" s="1"/>
      <c r="D899" s="1"/>
      <c r="E899" s="1"/>
    </row>
    <row r="900" spans="1:5" x14ac:dyDescent="0.3">
      <c r="A900" s="1"/>
      <c r="B900" s="1"/>
      <c r="C900" s="1"/>
      <c r="D900" s="1"/>
      <c r="E900" s="1"/>
    </row>
    <row r="901" spans="1:5" x14ac:dyDescent="0.3">
      <c r="A901" s="1"/>
      <c r="B901" s="1"/>
      <c r="C901" s="1"/>
      <c r="D901" s="1"/>
      <c r="E901" s="1"/>
    </row>
    <row r="902" spans="1:5" x14ac:dyDescent="0.3">
      <c r="A902" s="1"/>
      <c r="B902" s="1"/>
      <c r="C902" s="1"/>
      <c r="D902" s="1"/>
      <c r="E902" s="1"/>
    </row>
    <row r="903" spans="1:5" x14ac:dyDescent="0.3">
      <c r="A903" s="1"/>
      <c r="B903" s="1"/>
      <c r="C903" s="1"/>
      <c r="D903" s="1"/>
      <c r="E903" s="1"/>
    </row>
    <row r="904" spans="1:5" x14ac:dyDescent="0.3">
      <c r="A904" s="1"/>
      <c r="B904" s="1"/>
      <c r="C904" s="1"/>
      <c r="D904" s="1"/>
      <c r="E904" s="1"/>
    </row>
    <row r="905" spans="1:5" x14ac:dyDescent="0.3">
      <c r="A905" s="1"/>
      <c r="B905" s="1"/>
      <c r="C905" s="1"/>
      <c r="D905" s="1"/>
      <c r="E905" s="1"/>
    </row>
    <row r="906" spans="1:5" x14ac:dyDescent="0.3">
      <c r="A906" s="1"/>
      <c r="B906" s="1"/>
      <c r="C906" s="1"/>
      <c r="D906" s="1"/>
      <c r="E906" s="1"/>
    </row>
    <row r="907" spans="1:5" x14ac:dyDescent="0.3">
      <c r="A907" s="1"/>
      <c r="B907" s="1"/>
      <c r="C907" s="1"/>
      <c r="D907" s="1"/>
      <c r="E907" s="1"/>
    </row>
    <row r="908" spans="1:5" x14ac:dyDescent="0.3">
      <c r="A908" s="1"/>
      <c r="B908" s="1"/>
      <c r="C908" s="1"/>
      <c r="D908" s="1"/>
      <c r="E908" s="1"/>
    </row>
    <row r="909" spans="1:5" x14ac:dyDescent="0.3">
      <c r="A909" s="1"/>
      <c r="B909" s="1"/>
      <c r="C909" s="1"/>
      <c r="D909" s="1"/>
      <c r="E909" s="1"/>
    </row>
    <row r="910" spans="1:5" x14ac:dyDescent="0.3">
      <c r="A910" s="1"/>
      <c r="B910" s="1"/>
      <c r="C910" s="1"/>
      <c r="D910" s="1"/>
      <c r="E910" s="1"/>
    </row>
    <row r="911" spans="1:5" x14ac:dyDescent="0.3">
      <c r="A911" s="1"/>
      <c r="B911" s="1"/>
      <c r="C911" s="1"/>
      <c r="D911" s="1"/>
      <c r="E911" s="1"/>
    </row>
    <row r="912" spans="1:5" x14ac:dyDescent="0.3">
      <c r="A912" s="1"/>
      <c r="B912" s="1"/>
      <c r="C912" s="1"/>
      <c r="D912" s="1"/>
      <c r="E912" s="1"/>
    </row>
    <row r="913" spans="1:5" x14ac:dyDescent="0.3">
      <c r="A913" s="1"/>
      <c r="B913" s="1"/>
      <c r="C913" s="1"/>
      <c r="D913" s="1"/>
      <c r="E913" s="1"/>
    </row>
    <row r="914" spans="1:5" x14ac:dyDescent="0.3">
      <c r="A914" s="1"/>
      <c r="B914" s="1"/>
      <c r="C914" s="1"/>
      <c r="D914" s="1"/>
      <c r="E914" s="1"/>
    </row>
    <row r="915" spans="1:5" x14ac:dyDescent="0.3">
      <c r="A915" s="1"/>
      <c r="B915" s="1"/>
      <c r="C915" s="1"/>
      <c r="D915" s="1"/>
      <c r="E915" s="1"/>
    </row>
    <row r="916" spans="1:5" x14ac:dyDescent="0.3">
      <c r="A916" s="1"/>
      <c r="B916" s="1"/>
      <c r="C916" s="1"/>
      <c r="D916" s="1"/>
      <c r="E916" s="1"/>
    </row>
    <row r="917" spans="1:5" x14ac:dyDescent="0.3">
      <c r="A917" s="1"/>
      <c r="B917" s="1"/>
      <c r="C917" s="1"/>
      <c r="D917" s="1"/>
      <c r="E917" s="1"/>
    </row>
    <row r="918" spans="1:5" x14ac:dyDescent="0.3">
      <c r="A918" s="1"/>
      <c r="B918" s="1"/>
      <c r="C918" s="1"/>
      <c r="D918" s="1"/>
      <c r="E918" s="1"/>
    </row>
    <row r="919" spans="1:5" x14ac:dyDescent="0.3">
      <c r="A919" s="1"/>
      <c r="B919" s="1"/>
      <c r="C919" s="1"/>
      <c r="D919" s="1"/>
      <c r="E919" s="1"/>
    </row>
    <row r="920" spans="1:5" x14ac:dyDescent="0.3">
      <c r="A920" s="1"/>
      <c r="B920" s="1"/>
      <c r="C920" s="1"/>
      <c r="D920" s="1"/>
      <c r="E920" s="1"/>
    </row>
    <row r="921" spans="1:5" x14ac:dyDescent="0.3">
      <c r="A921" s="1"/>
      <c r="B921" s="1"/>
      <c r="C921" s="1"/>
      <c r="D921" s="1"/>
      <c r="E921" s="1"/>
    </row>
    <row r="922" spans="1:5" x14ac:dyDescent="0.3">
      <c r="A922" s="1"/>
      <c r="B922" s="1"/>
      <c r="C922" s="1"/>
      <c r="D922" s="1"/>
      <c r="E922" s="1"/>
    </row>
    <row r="923" spans="1:5" x14ac:dyDescent="0.3">
      <c r="A923" s="1"/>
      <c r="B923" s="1"/>
      <c r="C923" s="1"/>
      <c r="D923" s="1"/>
      <c r="E923" s="1"/>
    </row>
    <row r="924" spans="1:5" x14ac:dyDescent="0.3">
      <c r="A924" s="1"/>
      <c r="B924" s="1"/>
      <c r="C924" s="1"/>
      <c r="D924" s="1"/>
      <c r="E924" s="1"/>
    </row>
    <row r="925" spans="1:5" x14ac:dyDescent="0.3">
      <c r="A925" s="1"/>
      <c r="B925" s="1"/>
      <c r="C925" s="1"/>
      <c r="D925" s="1"/>
      <c r="E925" s="1"/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x14ac:dyDescent="0.3">
      <c r="A928" s="1"/>
      <c r="B928" s="1"/>
      <c r="C928" s="1"/>
      <c r="D928" s="1"/>
      <c r="E928" s="1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1"/>
      <c r="B930" s="1"/>
      <c r="C930" s="1"/>
      <c r="D930" s="1"/>
      <c r="E930" s="1"/>
    </row>
    <row r="931" spans="1:5" x14ac:dyDescent="0.3">
      <c r="A931" s="1"/>
      <c r="B931" s="1"/>
      <c r="C931" s="1"/>
      <c r="D931" s="1"/>
      <c r="E931" s="1"/>
    </row>
    <row r="932" spans="1:5" x14ac:dyDescent="0.3">
      <c r="A932" s="1"/>
      <c r="B932" s="1"/>
      <c r="C932" s="1"/>
      <c r="D932" s="1"/>
      <c r="E932" s="1"/>
    </row>
    <row r="933" spans="1:5" x14ac:dyDescent="0.3">
      <c r="A933" s="1"/>
      <c r="B933" s="1"/>
      <c r="C933" s="1"/>
      <c r="D933" s="1"/>
      <c r="E933" s="1"/>
    </row>
    <row r="934" spans="1:5" x14ac:dyDescent="0.3">
      <c r="A934" s="1"/>
      <c r="B934" s="1"/>
      <c r="C934" s="1"/>
      <c r="D934" s="1"/>
      <c r="E934" s="1"/>
    </row>
    <row r="935" spans="1:5" x14ac:dyDescent="0.3">
      <c r="A935" s="1"/>
      <c r="B935" s="1"/>
      <c r="C935" s="1"/>
      <c r="D935" s="1"/>
      <c r="E935" s="1"/>
    </row>
    <row r="936" spans="1:5" x14ac:dyDescent="0.3">
      <c r="A936" s="1"/>
      <c r="B936" s="1"/>
      <c r="C936" s="1"/>
      <c r="D936" s="1"/>
      <c r="E936" s="1"/>
    </row>
    <row r="937" spans="1:5" x14ac:dyDescent="0.3">
      <c r="A937" s="1"/>
      <c r="B937" s="1"/>
      <c r="C937" s="1"/>
      <c r="D937" s="1"/>
      <c r="E937" s="1"/>
    </row>
    <row r="938" spans="1:5" x14ac:dyDescent="0.3">
      <c r="A938" s="1"/>
      <c r="B938" s="1"/>
      <c r="C938" s="1"/>
      <c r="D938" s="1"/>
      <c r="E938" s="1"/>
    </row>
    <row r="939" spans="1:5" x14ac:dyDescent="0.3">
      <c r="A939" s="1"/>
      <c r="B939" s="1"/>
      <c r="C939" s="1"/>
      <c r="D939" s="1"/>
      <c r="E939" s="1"/>
    </row>
    <row r="940" spans="1:5" x14ac:dyDescent="0.3">
      <c r="A940" s="1"/>
      <c r="B940" s="1"/>
      <c r="C940" s="1"/>
      <c r="D940" s="1"/>
      <c r="E940" s="1"/>
    </row>
    <row r="941" spans="1:5" x14ac:dyDescent="0.3">
      <c r="A941" s="1"/>
      <c r="B941" s="1"/>
      <c r="C941" s="1"/>
      <c r="D941" s="1"/>
      <c r="E941" s="1"/>
    </row>
    <row r="942" spans="1:5" x14ac:dyDescent="0.3">
      <c r="A942" s="1"/>
      <c r="B942" s="1"/>
      <c r="C942" s="1"/>
      <c r="D942" s="1"/>
      <c r="E942" s="1"/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x14ac:dyDescent="0.3">
      <c r="A945" s="1"/>
      <c r="B945" s="1"/>
      <c r="C945" s="1"/>
      <c r="D945" s="1"/>
      <c r="E945" s="1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1"/>
      <c r="B947" s="1"/>
      <c r="C947" s="1"/>
      <c r="D947" s="1"/>
      <c r="E947" s="1"/>
    </row>
    <row r="948" spans="1:5" x14ac:dyDescent="0.3">
      <c r="A948" s="1"/>
      <c r="B948" s="1"/>
      <c r="C948" s="1"/>
      <c r="D948" s="1"/>
      <c r="E948" s="1"/>
    </row>
    <row r="949" spans="1:5" x14ac:dyDescent="0.3">
      <c r="A949" s="1"/>
      <c r="B949" s="1"/>
      <c r="C949" s="1"/>
      <c r="D949" s="1"/>
      <c r="E949" s="1"/>
    </row>
    <row r="950" spans="1:5" x14ac:dyDescent="0.3">
      <c r="A950" s="1"/>
      <c r="B950" s="1"/>
      <c r="C950" s="1"/>
      <c r="D950" s="1"/>
      <c r="E950" s="1"/>
    </row>
    <row r="951" spans="1:5" x14ac:dyDescent="0.3">
      <c r="A951" s="1"/>
      <c r="B951" s="1"/>
      <c r="C951" s="1"/>
      <c r="D951" s="1"/>
      <c r="E951" s="1"/>
    </row>
    <row r="952" spans="1:5" x14ac:dyDescent="0.3">
      <c r="A952" s="1"/>
      <c r="B952" s="1"/>
      <c r="C952" s="1"/>
      <c r="D952" s="1"/>
      <c r="E952" s="1"/>
    </row>
    <row r="953" spans="1:5" x14ac:dyDescent="0.3">
      <c r="A953" s="1"/>
      <c r="B953" s="1"/>
      <c r="C953" s="1"/>
      <c r="D953" s="1"/>
      <c r="E953" s="1"/>
    </row>
    <row r="954" spans="1:5" x14ac:dyDescent="0.3">
      <c r="A954" s="1"/>
      <c r="B954" s="1"/>
      <c r="C954" s="1"/>
      <c r="D954" s="1"/>
      <c r="E954" s="1"/>
    </row>
    <row r="955" spans="1:5" x14ac:dyDescent="0.3">
      <c r="A955" s="1"/>
      <c r="B955" s="1"/>
      <c r="C955" s="1"/>
      <c r="D955" s="1"/>
      <c r="E955" s="1"/>
    </row>
    <row r="956" spans="1:5" x14ac:dyDescent="0.3">
      <c r="A956" s="1"/>
      <c r="B956" s="1"/>
      <c r="C956" s="1"/>
      <c r="D956" s="1"/>
      <c r="E956" s="1"/>
    </row>
    <row r="957" spans="1:5" x14ac:dyDescent="0.3">
      <c r="A957" s="1"/>
      <c r="B957" s="1"/>
      <c r="C957" s="1"/>
      <c r="D957" s="1"/>
      <c r="E957" s="1"/>
    </row>
    <row r="958" spans="1:5" x14ac:dyDescent="0.3">
      <c r="A958" s="1"/>
      <c r="B958" s="1"/>
      <c r="C958" s="1"/>
      <c r="D958" s="1"/>
      <c r="E958" s="1"/>
    </row>
    <row r="959" spans="1:5" x14ac:dyDescent="0.3">
      <c r="A959" s="1"/>
      <c r="B959" s="1"/>
      <c r="C959" s="1"/>
      <c r="D959" s="1"/>
      <c r="E959" s="1"/>
    </row>
    <row r="960" spans="1:5" x14ac:dyDescent="0.3">
      <c r="A960" s="1"/>
      <c r="B960" s="1"/>
      <c r="C960" s="1"/>
      <c r="D960" s="1"/>
      <c r="E960" s="1"/>
    </row>
    <row r="961" spans="1:5" x14ac:dyDescent="0.3">
      <c r="A961" s="1"/>
      <c r="B961" s="1"/>
      <c r="C961" s="1"/>
      <c r="D961" s="1"/>
      <c r="E961" s="1"/>
    </row>
    <row r="962" spans="1:5" x14ac:dyDescent="0.3">
      <c r="A962" s="1"/>
      <c r="B962" s="1"/>
      <c r="C962" s="1"/>
      <c r="D962" s="1"/>
      <c r="E962" s="1"/>
    </row>
    <row r="963" spans="1:5" x14ac:dyDescent="0.3">
      <c r="A963" s="1"/>
      <c r="B963" s="1"/>
      <c r="C963" s="1"/>
      <c r="D963" s="1"/>
      <c r="E963" s="1"/>
    </row>
    <row r="964" spans="1:5" x14ac:dyDescent="0.3">
      <c r="A964" s="1"/>
      <c r="B964" s="1"/>
      <c r="C964" s="1"/>
      <c r="D964" s="1"/>
      <c r="E964" s="1"/>
    </row>
    <row r="965" spans="1:5" x14ac:dyDescent="0.3">
      <c r="A965" s="1"/>
      <c r="B965" s="1"/>
      <c r="C965" s="1"/>
      <c r="D965" s="1"/>
      <c r="E965" s="1"/>
    </row>
    <row r="966" spans="1:5" x14ac:dyDescent="0.3">
      <c r="A966" s="1"/>
      <c r="B966" s="1"/>
      <c r="C966" s="1"/>
      <c r="D966" s="1"/>
      <c r="E966" s="1"/>
    </row>
    <row r="967" spans="1:5" x14ac:dyDescent="0.3">
      <c r="A967" s="1"/>
      <c r="B967" s="1"/>
      <c r="C967" s="1"/>
      <c r="D967" s="1"/>
      <c r="E967" s="1"/>
    </row>
    <row r="968" spans="1:5" x14ac:dyDescent="0.3">
      <c r="A968" s="1"/>
      <c r="B968" s="1"/>
      <c r="C968" s="1"/>
      <c r="D968" s="1"/>
      <c r="E968" s="1"/>
    </row>
    <row r="969" spans="1:5" x14ac:dyDescent="0.3">
      <c r="A969" s="1"/>
      <c r="B969" s="1"/>
      <c r="C969" s="1"/>
      <c r="D969" s="1"/>
      <c r="E969" s="1"/>
    </row>
    <row r="970" spans="1:5" x14ac:dyDescent="0.3">
      <c r="A970" s="1"/>
      <c r="B970" s="1"/>
      <c r="C970" s="1"/>
      <c r="D970" s="1"/>
      <c r="E970" s="1"/>
    </row>
    <row r="971" spans="1:5" x14ac:dyDescent="0.3">
      <c r="A971" s="1"/>
      <c r="B971" s="1"/>
      <c r="C971" s="1"/>
      <c r="D971" s="1"/>
      <c r="E971" s="1"/>
    </row>
    <row r="972" spans="1:5" x14ac:dyDescent="0.3">
      <c r="A972" s="1"/>
      <c r="B972" s="1"/>
      <c r="C972" s="1"/>
      <c r="D972" s="1"/>
      <c r="E972" s="1"/>
    </row>
    <row r="973" spans="1:5" x14ac:dyDescent="0.3">
      <c r="A973" s="1"/>
      <c r="B973" s="1"/>
      <c r="C973" s="1"/>
      <c r="D973" s="1"/>
      <c r="E973" s="1"/>
    </row>
    <row r="974" spans="1:5" x14ac:dyDescent="0.3">
      <c r="A974" s="1"/>
      <c r="B974" s="1"/>
      <c r="C974" s="1"/>
      <c r="D974" s="1"/>
      <c r="E974" s="1"/>
    </row>
    <row r="975" spans="1:5" x14ac:dyDescent="0.3">
      <c r="A975" s="1"/>
      <c r="B975" s="1"/>
      <c r="C975" s="1"/>
      <c r="D975" s="1"/>
      <c r="E975" s="1"/>
    </row>
    <row r="976" spans="1:5" x14ac:dyDescent="0.3">
      <c r="A976" s="1"/>
      <c r="B976" s="1"/>
      <c r="C976" s="1"/>
      <c r="D976" s="1"/>
      <c r="E976" s="1"/>
    </row>
    <row r="977" spans="1:5" x14ac:dyDescent="0.3">
      <c r="A977" s="1"/>
      <c r="B977" s="1"/>
      <c r="C977" s="1"/>
      <c r="D977" s="1"/>
      <c r="E977" s="1"/>
    </row>
    <row r="978" spans="1:5" x14ac:dyDescent="0.3">
      <c r="A978" s="1"/>
      <c r="B978" s="1"/>
      <c r="C978" s="1"/>
      <c r="D978" s="1"/>
      <c r="E978" s="1"/>
    </row>
    <row r="979" spans="1:5" x14ac:dyDescent="0.3">
      <c r="A979" s="1"/>
      <c r="B979" s="1"/>
      <c r="C979" s="1"/>
      <c r="D979" s="1"/>
      <c r="E979" s="1"/>
    </row>
    <row r="980" spans="1:5" x14ac:dyDescent="0.3">
      <c r="A980" s="1"/>
      <c r="B980" s="1"/>
      <c r="C980" s="1"/>
      <c r="D980" s="1"/>
      <c r="E980" s="1"/>
    </row>
    <row r="981" spans="1:5" x14ac:dyDescent="0.3">
      <c r="A981" s="1"/>
      <c r="B981" s="1"/>
      <c r="C981" s="1"/>
      <c r="D981" s="1"/>
      <c r="E981" s="1"/>
    </row>
    <row r="982" spans="1:5" x14ac:dyDescent="0.3">
      <c r="A982" s="1"/>
      <c r="B982" s="1"/>
      <c r="C982" s="1"/>
      <c r="D982" s="1"/>
      <c r="E982" s="1"/>
    </row>
    <row r="983" spans="1:5" x14ac:dyDescent="0.3">
      <c r="A983" s="1"/>
      <c r="B983" s="1"/>
      <c r="C983" s="1"/>
      <c r="D983" s="1"/>
      <c r="E983" s="1"/>
    </row>
    <row r="984" spans="1:5" x14ac:dyDescent="0.3">
      <c r="A984" s="1"/>
      <c r="B984" s="1"/>
      <c r="C984" s="1"/>
      <c r="D984" s="1"/>
      <c r="E984" s="1"/>
    </row>
    <row r="985" spans="1:5" x14ac:dyDescent="0.3">
      <c r="A985" s="1"/>
      <c r="B985" s="1"/>
      <c r="C985" s="1"/>
      <c r="D985" s="1"/>
      <c r="E985" s="1"/>
    </row>
    <row r="986" spans="1:5" x14ac:dyDescent="0.3">
      <c r="A986" s="1"/>
      <c r="B986" s="1"/>
      <c r="C986" s="1"/>
      <c r="D986" s="1"/>
      <c r="E986" s="1"/>
    </row>
    <row r="987" spans="1:5" x14ac:dyDescent="0.3">
      <c r="A987" s="1"/>
      <c r="B987" s="1"/>
      <c r="C987" s="1"/>
      <c r="D987" s="1"/>
      <c r="E987" s="1"/>
    </row>
    <row r="988" spans="1:5" x14ac:dyDescent="0.3">
      <c r="A988" s="1"/>
      <c r="B988" s="1"/>
      <c r="C988" s="1"/>
      <c r="D988" s="1"/>
      <c r="E988" s="1"/>
    </row>
    <row r="989" spans="1:5" x14ac:dyDescent="0.3">
      <c r="A989" s="1"/>
      <c r="B989" s="1"/>
      <c r="C989" s="1"/>
      <c r="D989" s="1"/>
      <c r="E989" s="1"/>
    </row>
    <row r="990" spans="1:5" x14ac:dyDescent="0.3">
      <c r="A990" s="1"/>
      <c r="B990" s="1"/>
      <c r="C990" s="1"/>
      <c r="D990" s="1"/>
      <c r="E990" s="1"/>
    </row>
    <row r="991" spans="1:5" x14ac:dyDescent="0.3">
      <c r="A991" s="1"/>
      <c r="B991" s="1"/>
      <c r="C991" s="1"/>
      <c r="D991" s="1"/>
      <c r="E991" s="1"/>
    </row>
    <row r="992" spans="1:5" x14ac:dyDescent="0.3">
      <c r="A992" s="1"/>
      <c r="B992" s="1"/>
      <c r="C992" s="1"/>
      <c r="D992" s="1"/>
      <c r="E992" s="1"/>
    </row>
    <row r="993" spans="1:5" x14ac:dyDescent="0.3">
      <c r="A993" s="1"/>
      <c r="B993" s="1"/>
      <c r="C993" s="1"/>
      <c r="D993" s="1"/>
      <c r="E993" s="1"/>
    </row>
    <row r="994" spans="1:5" x14ac:dyDescent="0.3">
      <c r="A994" s="1"/>
      <c r="B994" s="1"/>
      <c r="C994" s="1"/>
      <c r="D994" s="1"/>
      <c r="E994" s="1"/>
    </row>
    <row r="995" spans="1:5" x14ac:dyDescent="0.3">
      <c r="A995" s="1"/>
      <c r="B995" s="1"/>
      <c r="C995" s="1"/>
      <c r="D995" s="1"/>
      <c r="E995" s="1"/>
    </row>
    <row r="996" spans="1:5" x14ac:dyDescent="0.3">
      <c r="A996" s="1"/>
      <c r="B996" s="1"/>
      <c r="C996" s="1"/>
      <c r="D996" s="1"/>
      <c r="E996" s="1"/>
    </row>
    <row r="997" spans="1:5" x14ac:dyDescent="0.3">
      <c r="A997" s="1"/>
      <c r="B997" s="1"/>
      <c r="C997" s="1"/>
      <c r="D997" s="1"/>
      <c r="E997" s="1"/>
    </row>
    <row r="998" spans="1:5" x14ac:dyDescent="0.3">
      <c r="A998" s="1"/>
      <c r="B998" s="1"/>
      <c r="C998" s="1"/>
      <c r="D998" s="1"/>
      <c r="E998" s="1"/>
    </row>
    <row r="999" spans="1:5" x14ac:dyDescent="0.3">
      <c r="A999" s="1"/>
      <c r="B999" s="1"/>
      <c r="C999" s="1"/>
      <c r="D999" s="1"/>
      <c r="E999" s="1"/>
    </row>
    <row r="1000" spans="1:5" x14ac:dyDescent="0.3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ABE7-23B4-4A48-B39F-36A352F47602}">
  <sheetPr codeName="Sheet8"/>
  <dimension ref="A1:I11"/>
  <sheetViews>
    <sheetView zoomScale="190" zoomScaleNormal="190" workbookViewId="0">
      <selection activeCell="G11" sqref="G11"/>
    </sheetView>
  </sheetViews>
  <sheetFormatPr defaultRowHeight="14.4" x14ac:dyDescent="0.3"/>
  <cols>
    <col min="1" max="1" width="12.33203125" customWidth="1"/>
    <col min="2" max="2" width="12.5546875" customWidth="1"/>
    <col min="3" max="3" width="10" bestFit="1" customWidth="1"/>
    <col min="5" max="5" width="9.109375" customWidth="1"/>
    <col min="6" max="6" width="11.33203125" bestFit="1" customWidth="1"/>
    <col min="7" max="7" width="11.109375" bestFit="1" customWidth="1"/>
    <col min="8" max="8" width="10" bestFit="1" customWidth="1"/>
  </cols>
  <sheetData>
    <row r="1" spans="1:9" x14ac:dyDescent="0.3">
      <c r="A1" s="17" t="s">
        <v>0</v>
      </c>
      <c r="B1" s="17" t="s">
        <v>52</v>
      </c>
      <c r="C1" s="17" t="s">
        <v>16</v>
      </c>
      <c r="D1" s="17" t="s">
        <v>53</v>
      </c>
      <c r="F1" s="17" t="s">
        <v>0</v>
      </c>
      <c r="G1" s="17" t="s">
        <v>52</v>
      </c>
      <c r="H1" s="17" t="s">
        <v>16</v>
      </c>
      <c r="I1" s="17" t="s">
        <v>53</v>
      </c>
    </row>
    <row r="2" spans="1:9" x14ac:dyDescent="0.3">
      <c r="A2" s="8" t="s">
        <v>54</v>
      </c>
      <c r="B2" s="8" t="s">
        <v>69</v>
      </c>
      <c r="C2" s="8" t="s">
        <v>56</v>
      </c>
      <c r="D2" s="8">
        <v>99</v>
      </c>
      <c r="F2" t="str" cm="1">
        <f t="array" ref="F2:I8">_xlfn.UNIQUE(A2:D11,0,0)</f>
        <v>Shaktimaan</v>
      </c>
      <c r="G2" t="str">
        <v>Zandubalm</v>
      </c>
      <c r="H2" t="str">
        <v>South City</v>
      </c>
      <c r="I2">
        <v>99</v>
      </c>
    </row>
    <row r="3" spans="1:9" x14ac:dyDescent="0.3">
      <c r="A3" s="8" t="s">
        <v>57</v>
      </c>
      <c r="B3" s="8" t="s">
        <v>58</v>
      </c>
      <c r="C3" s="8" t="s">
        <v>59</v>
      </c>
      <c r="D3" s="8">
        <v>65</v>
      </c>
      <c r="F3" t="str">
        <v>Ironman</v>
      </c>
      <c r="G3" t="str">
        <v>Tigerbalm</v>
      </c>
      <c r="H3" t="str">
        <v>North City</v>
      </c>
      <c r="I3">
        <v>65</v>
      </c>
    </row>
    <row r="4" spans="1:9" x14ac:dyDescent="0.3">
      <c r="A4" s="8" t="s">
        <v>60</v>
      </c>
      <c r="B4" s="8" t="s">
        <v>61</v>
      </c>
      <c r="C4" s="8" t="s">
        <v>62</v>
      </c>
      <c r="D4" s="8">
        <v>32</v>
      </c>
      <c r="F4" t="str">
        <v>Superman</v>
      </c>
      <c r="G4" t="str">
        <v>Toothpaste</v>
      </c>
      <c r="H4" t="str">
        <v>West City</v>
      </c>
      <c r="I4">
        <v>32</v>
      </c>
    </row>
    <row r="5" spans="1:9" x14ac:dyDescent="0.3">
      <c r="A5" s="8" t="s">
        <v>63</v>
      </c>
      <c r="B5" s="8" t="s">
        <v>64</v>
      </c>
      <c r="C5" s="8" t="s">
        <v>56</v>
      </c>
      <c r="D5" s="8">
        <v>65</v>
      </c>
      <c r="F5" t="str">
        <v>Thor</v>
      </c>
      <c r="G5" t="str">
        <v>Toothbrush</v>
      </c>
      <c r="H5" t="str">
        <v>South City</v>
      </c>
      <c r="I5">
        <v>65</v>
      </c>
    </row>
    <row r="6" spans="1:9" x14ac:dyDescent="0.3">
      <c r="A6" s="8" t="s">
        <v>65</v>
      </c>
      <c r="B6" s="8" t="s">
        <v>55</v>
      </c>
      <c r="C6" s="8" t="s">
        <v>59</v>
      </c>
      <c r="D6" s="8">
        <v>98</v>
      </c>
      <c r="F6" t="str">
        <v>Batman</v>
      </c>
      <c r="G6" t="str">
        <v>Iodex</v>
      </c>
      <c r="H6" t="str">
        <v>North City</v>
      </c>
      <c r="I6">
        <v>98</v>
      </c>
    </row>
    <row r="7" spans="1:9" x14ac:dyDescent="0.3">
      <c r="A7" s="8" t="s">
        <v>66</v>
      </c>
      <c r="B7" s="8" t="s">
        <v>58</v>
      </c>
      <c r="C7" s="8" t="s">
        <v>62</v>
      </c>
      <c r="D7" s="8">
        <v>65</v>
      </c>
      <c r="F7" t="str">
        <v>Spiderman</v>
      </c>
      <c r="G7" t="str">
        <v>Tigerbalm</v>
      </c>
      <c r="H7" t="str">
        <v>West City</v>
      </c>
      <c r="I7">
        <v>65</v>
      </c>
    </row>
    <row r="8" spans="1:9" x14ac:dyDescent="0.3">
      <c r="A8" s="8" t="s">
        <v>54</v>
      </c>
      <c r="B8" s="8" t="s">
        <v>69</v>
      </c>
      <c r="C8" s="8" t="s">
        <v>56</v>
      </c>
      <c r="D8" s="8">
        <v>99</v>
      </c>
      <c r="F8" t="str">
        <v>Ratman</v>
      </c>
      <c r="G8" t="str">
        <v>Zandubalm</v>
      </c>
      <c r="H8" t="str">
        <v>West City</v>
      </c>
      <c r="I8">
        <v>54</v>
      </c>
    </row>
    <row r="9" spans="1:9" x14ac:dyDescent="0.3">
      <c r="A9" s="8" t="s">
        <v>65</v>
      </c>
      <c r="B9" s="8" t="s">
        <v>55</v>
      </c>
      <c r="C9" s="8" t="s">
        <v>59</v>
      </c>
      <c r="D9" s="8">
        <v>98</v>
      </c>
    </row>
    <row r="10" spans="1:9" x14ac:dyDescent="0.3">
      <c r="A10" s="8" t="s">
        <v>70</v>
      </c>
      <c r="B10" s="8" t="s">
        <v>69</v>
      </c>
      <c r="C10" s="8" t="s">
        <v>62</v>
      </c>
      <c r="D10" s="8">
        <v>54</v>
      </c>
    </row>
    <row r="11" spans="1:9" x14ac:dyDescent="0.3">
      <c r="A11" s="8" t="s">
        <v>54</v>
      </c>
      <c r="B11" s="8" t="s">
        <v>69</v>
      </c>
      <c r="C11" s="8" t="s">
        <v>56</v>
      </c>
      <c r="D11" s="8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43CC-9F29-4437-9B71-F6AEE0D5BCCF}">
  <sheetPr codeName="Sheet9"/>
  <dimension ref="A1:K11"/>
  <sheetViews>
    <sheetView topLeftCell="B1" zoomScale="160" zoomScaleNormal="160" workbookViewId="0">
      <selection activeCell="H10" sqref="H10"/>
    </sheetView>
  </sheetViews>
  <sheetFormatPr defaultRowHeight="14.4" x14ac:dyDescent="0.3"/>
  <cols>
    <col min="1" max="1" width="11.6640625" bestFit="1" customWidth="1"/>
    <col min="2" max="2" width="11.33203125" bestFit="1" customWidth="1"/>
    <col min="3" max="3" width="12.5546875" customWidth="1"/>
    <col min="4" max="4" width="10" bestFit="1" customWidth="1"/>
    <col min="6" max="6" width="11.6640625" bestFit="1" customWidth="1"/>
    <col min="7" max="7" width="12" customWidth="1"/>
    <col min="8" max="8" width="11.33203125" bestFit="1" customWidth="1"/>
    <col min="9" max="9" width="9.88671875" customWidth="1"/>
  </cols>
  <sheetData>
    <row r="1" spans="1:11" x14ac:dyDescent="0.3">
      <c r="A1" s="10"/>
      <c r="B1" s="10" t="s">
        <v>0</v>
      </c>
      <c r="C1" s="10" t="s">
        <v>52</v>
      </c>
      <c r="D1" s="10" t="s">
        <v>16</v>
      </c>
      <c r="E1" s="10" t="s">
        <v>53</v>
      </c>
      <c r="F1" s="10" t="s">
        <v>51</v>
      </c>
      <c r="G1" s="11" t="s">
        <v>51</v>
      </c>
      <c r="H1" s="10" t="s">
        <v>0</v>
      </c>
      <c r="I1" s="10" t="s">
        <v>52</v>
      </c>
      <c r="J1" s="10" t="s">
        <v>16</v>
      </c>
      <c r="K1" s="10" t="s">
        <v>53</v>
      </c>
    </row>
    <row r="2" spans="1:11" x14ac:dyDescent="0.3">
      <c r="A2" s="8"/>
      <c r="B2" s="8" t="s">
        <v>54</v>
      </c>
      <c r="C2" s="8" t="s">
        <v>55</v>
      </c>
      <c r="D2" s="8" t="s">
        <v>56</v>
      </c>
      <c r="E2" s="8">
        <v>45</v>
      </c>
      <c r="F2" s="8">
        <v>1001</v>
      </c>
      <c r="G2">
        <v>1002</v>
      </c>
      <c r="H2" t="str">
        <f>_xlfn.XLOOKUP($G$2,$F$2:$F$11,B2:B11)</f>
        <v>Ironman</v>
      </c>
      <c r="I2" t="str">
        <f t="shared" ref="I2:K2" si="0">_xlfn.XLOOKUP($G$2,$F$2:$F$11,C2:C11)</f>
        <v>Tigerbalm</v>
      </c>
      <c r="J2" t="str">
        <f t="shared" si="0"/>
        <v>North City</v>
      </c>
      <c r="K2">
        <f t="shared" si="0"/>
        <v>65</v>
      </c>
    </row>
    <row r="3" spans="1:11" x14ac:dyDescent="0.3">
      <c r="A3" s="8"/>
      <c r="B3" s="8" t="s">
        <v>57</v>
      </c>
      <c r="C3" s="8" t="s">
        <v>58</v>
      </c>
      <c r="D3" s="8" t="s">
        <v>59</v>
      </c>
      <c r="E3" s="8">
        <v>65</v>
      </c>
      <c r="F3" s="8">
        <v>1002</v>
      </c>
    </row>
    <row r="4" spans="1:11" x14ac:dyDescent="0.3">
      <c r="A4" s="8"/>
      <c r="B4" s="8" t="s">
        <v>60</v>
      </c>
      <c r="C4" s="8" t="s">
        <v>61</v>
      </c>
      <c r="D4" s="8" t="s">
        <v>62</v>
      </c>
      <c r="E4" s="8">
        <v>32</v>
      </c>
      <c r="F4" s="8">
        <v>1003</v>
      </c>
    </row>
    <row r="5" spans="1:11" x14ac:dyDescent="0.3">
      <c r="A5" s="8"/>
      <c r="B5" s="8" t="s">
        <v>63</v>
      </c>
      <c r="C5" s="8" t="s">
        <v>64</v>
      </c>
      <c r="D5" s="8" t="s">
        <v>56</v>
      </c>
      <c r="E5" s="8">
        <v>65</v>
      </c>
      <c r="F5" s="8">
        <v>1004</v>
      </c>
    </row>
    <row r="6" spans="1:11" x14ac:dyDescent="0.3">
      <c r="A6" s="8"/>
      <c r="B6" s="8" t="s">
        <v>65</v>
      </c>
      <c r="C6" s="8" t="s">
        <v>55</v>
      </c>
      <c r="D6" s="8" t="s">
        <v>59</v>
      </c>
      <c r="E6" s="8">
        <v>98</v>
      </c>
      <c r="F6" s="8">
        <v>1005</v>
      </c>
    </row>
    <row r="7" spans="1:11" x14ac:dyDescent="0.3">
      <c r="A7" s="8"/>
      <c r="B7" s="8" t="s">
        <v>66</v>
      </c>
      <c r="C7" s="8" t="s">
        <v>58</v>
      </c>
      <c r="D7" s="8" t="s">
        <v>62</v>
      </c>
      <c r="E7" s="8">
        <v>65</v>
      </c>
      <c r="F7" s="8">
        <v>1006</v>
      </c>
    </row>
    <row r="8" spans="1:11" x14ac:dyDescent="0.3">
      <c r="A8" s="8"/>
      <c r="B8" s="8" t="s">
        <v>67</v>
      </c>
      <c r="C8" s="8" t="s">
        <v>64</v>
      </c>
      <c r="D8" s="8" t="s">
        <v>56</v>
      </c>
      <c r="E8" s="8">
        <v>32</v>
      </c>
      <c r="F8" s="8">
        <v>1007</v>
      </c>
    </row>
    <row r="9" spans="1:11" x14ac:dyDescent="0.3">
      <c r="A9" s="8"/>
      <c r="B9" s="8" t="s">
        <v>68</v>
      </c>
      <c r="C9" s="8" t="s">
        <v>69</v>
      </c>
      <c r="D9" s="8" t="s">
        <v>59</v>
      </c>
      <c r="E9" s="8">
        <v>65</v>
      </c>
      <c r="F9" s="8">
        <v>1008</v>
      </c>
    </row>
    <row r="10" spans="1:11" x14ac:dyDescent="0.3">
      <c r="A10" s="8"/>
      <c r="B10" s="8" t="s">
        <v>70</v>
      </c>
      <c r="C10" s="8" t="s">
        <v>69</v>
      </c>
      <c r="D10" s="8" t="s">
        <v>62</v>
      </c>
      <c r="E10" s="8">
        <v>54</v>
      </c>
      <c r="F10" s="8">
        <v>1009</v>
      </c>
    </row>
    <row r="11" spans="1:11" x14ac:dyDescent="0.3">
      <c r="A11" s="8"/>
      <c r="B11" s="8" t="s">
        <v>71</v>
      </c>
      <c r="C11" s="8" t="s">
        <v>58</v>
      </c>
      <c r="D11" s="8" t="s">
        <v>56</v>
      </c>
      <c r="E11" s="8">
        <v>65</v>
      </c>
      <c r="F11" s="8">
        <v>1010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A449-6409-4045-B446-5C0A4839C13A}">
  <sheetPr codeName="Sheet10"/>
  <dimension ref="A1:L11"/>
  <sheetViews>
    <sheetView zoomScale="145" zoomScaleNormal="145" workbookViewId="0">
      <selection activeCell="C4" sqref="C4"/>
    </sheetView>
  </sheetViews>
  <sheetFormatPr defaultRowHeight="14.4" x14ac:dyDescent="0.3"/>
  <cols>
    <col min="1" max="1" width="11.33203125" customWidth="1"/>
    <col min="2" max="2" width="8.88671875" customWidth="1"/>
    <col min="3" max="3" width="9.5546875" customWidth="1"/>
  </cols>
  <sheetData>
    <row r="1" spans="1:12" x14ac:dyDescent="0.3">
      <c r="A1" s="15" t="s">
        <v>77</v>
      </c>
      <c r="B1" s="14" t="s">
        <v>16</v>
      </c>
      <c r="C1" s="14" t="s">
        <v>53</v>
      </c>
      <c r="E1" s="25" t="s">
        <v>86</v>
      </c>
      <c r="F1" s="25"/>
      <c r="H1" s="26" t="s">
        <v>85</v>
      </c>
      <c r="I1" s="26"/>
      <c r="K1" s="25" t="s">
        <v>84</v>
      </c>
      <c r="L1" s="25"/>
    </row>
    <row r="2" spans="1:12" x14ac:dyDescent="0.3">
      <c r="A2" s="13" t="s">
        <v>83</v>
      </c>
      <c r="B2" s="12" t="s">
        <v>21</v>
      </c>
      <c r="C2" s="12">
        <v>45</v>
      </c>
      <c r="E2" s="8" t="s">
        <v>77</v>
      </c>
      <c r="F2" s="8" t="s">
        <v>76</v>
      </c>
      <c r="H2" s="8" t="s">
        <v>53</v>
      </c>
      <c r="I2" s="8" t="s">
        <v>76</v>
      </c>
      <c r="K2" s="8" t="s">
        <v>53</v>
      </c>
      <c r="L2" s="8" t="s">
        <v>76</v>
      </c>
    </row>
    <row r="3" spans="1:12" x14ac:dyDescent="0.3">
      <c r="A3" s="13" t="s">
        <v>27</v>
      </c>
      <c r="B3" s="12" t="s">
        <v>18</v>
      </c>
      <c r="C3" s="12">
        <v>65</v>
      </c>
      <c r="E3" s="8" t="s">
        <v>27</v>
      </c>
      <c r="F3" s="8">
        <f>_xlfn.XMATCH(E3,A1:A11,0)</f>
        <v>3</v>
      </c>
      <c r="H3" s="8">
        <v>99</v>
      </c>
      <c r="I3" s="8">
        <f>_xlfn.XMATCH(H3,C1:C11,-1)</f>
        <v>4</v>
      </c>
      <c r="K3" s="8">
        <v>10</v>
      </c>
      <c r="L3" s="8">
        <f>_xlfn.XMATCH(K3,C1:C11,1)</f>
        <v>11</v>
      </c>
    </row>
    <row r="4" spans="1:12" x14ac:dyDescent="0.3">
      <c r="A4" s="13" t="s">
        <v>82</v>
      </c>
      <c r="B4" s="12" t="s">
        <v>25</v>
      </c>
      <c r="C4" s="12">
        <v>98</v>
      </c>
    </row>
    <row r="5" spans="1:12" x14ac:dyDescent="0.3">
      <c r="A5" s="13" t="s">
        <v>110</v>
      </c>
      <c r="B5" s="12" t="s">
        <v>21</v>
      </c>
      <c r="C5" s="12">
        <v>65</v>
      </c>
    </row>
    <row r="6" spans="1:12" x14ac:dyDescent="0.3">
      <c r="A6" s="13" t="s">
        <v>81</v>
      </c>
      <c r="B6" s="12" t="s">
        <v>18</v>
      </c>
      <c r="C6" s="12">
        <v>25</v>
      </c>
      <c r="E6" s="25" t="s">
        <v>80</v>
      </c>
      <c r="F6" s="25"/>
      <c r="H6" s="25" t="s">
        <v>79</v>
      </c>
      <c r="I6" s="25"/>
    </row>
    <row r="7" spans="1:12" x14ac:dyDescent="0.3">
      <c r="A7" s="13" t="s">
        <v>78</v>
      </c>
      <c r="B7" s="12" t="s">
        <v>25</v>
      </c>
      <c r="C7" s="12">
        <v>35</v>
      </c>
      <c r="E7" s="8" t="s">
        <v>77</v>
      </c>
      <c r="F7" s="8" t="s">
        <v>76</v>
      </c>
      <c r="H7" s="8" t="s">
        <v>53</v>
      </c>
      <c r="I7" s="8" t="s">
        <v>76</v>
      </c>
    </row>
    <row r="8" spans="1:12" x14ac:dyDescent="0.3">
      <c r="A8" s="13" t="s">
        <v>75</v>
      </c>
      <c r="B8" s="12" t="s">
        <v>21</v>
      </c>
      <c r="C8" s="12">
        <v>45</v>
      </c>
      <c r="E8" s="8" t="s">
        <v>74</v>
      </c>
      <c r="F8" s="8">
        <f>_xlfn.XMATCH("*"&amp;E8&amp;"*",A1:A11,2)</f>
        <v>5</v>
      </c>
      <c r="H8" s="8">
        <v>98</v>
      </c>
      <c r="I8" s="8">
        <f>_xlfn.XMATCH(H8,C1:C11,0,-1)</f>
        <v>9</v>
      </c>
    </row>
    <row r="9" spans="1:12" x14ac:dyDescent="0.3">
      <c r="A9" s="13" t="s">
        <v>28</v>
      </c>
      <c r="B9" s="12" t="s">
        <v>18</v>
      </c>
      <c r="C9" s="12">
        <v>98</v>
      </c>
    </row>
    <row r="10" spans="1:12" x14ac:dyDescent="0.3">
      <c r="A10" s="13" t="s">
        <v>73</v>
      </c>
      <c r="B10" s="12" t="s">
        <v>25</v>
      </c>
      <c r="C10" s="12">
        <v>63</v>
      </c>
    </row>
    <row r="11" spans="1:12" x14ac:dyDescent="0.3">
      <c r="A11" s="13" t="s">
        <v>72</v>
      </c>
      <c r="B11" s="12" t="s">
        <v>21</v>
      </c>
      <c r="C11" s="12">
        <v>21</v>
      </c>
    </row>
  </sheetData>
  <mergeCells count="5">
    <mergeCell ref="E1:F1"/>
    <mergeCell ref="H1:I1"/>
    <mergeCell ref="K1:L1"/>
    <mergeCell ref="E6:F6"/>
    <mergeCell ref="H6:I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08D8-AA5C-4BE7-89F7-27F2DF35396E}">
  <sheetPr codeName="Sheet11"/>
  <dimension ref="A1:L11"/>
  <sheetViews>
    <sheetView zoomScale="175" zoomScaleNormal="175" workbookViewId="0">
      <selection activeCell="C3" sqref="C3"/>
    </sheetView>
  </sheetViews>
  <sheetFormatPr defaultRowHeight="14.4" x14ac:dyDescent="0.3"/>
  <sheetData>
    <row r="1" spans="1:12" x14ac:dyDescent="0.3">
      <c r="A1">
        <v>51</v>
      </c>
    </row>
    <row r="2" spans="1:12" x14ac:dyDescent="0.3">
      <c r="A2" cm="1">
        <f t="array" ref="A2:A11">_xlfn.SEQUENCE(10,1,A1,A1)</f>
        <v>51</v>
      </c>
      <c r="C2" cm="1">
        <f t="array" aca="1" ref="C2:L4" ca="1">_xlfn.RANDARRAY(3,10,1,100,1)</f>
        <v>14</v>
      </c>
      <c r="D2">
        <f ca="1"/>
        <v>9</v>
      </c>
      <c r="E2">
        <f ca="1"/>
        <v>87</v>
      </c>
      <c r="F2">
        <f ca="1"/>
        <v>72</v>
      </c>
      <c r="G2">
        <f ca="1"/>
        <v>31</v>
      </c>
      <c r="H2">
        <f ca="1"/>
        <v>24</v>
      </c>
      <c r="I2">
        <f ca="1"/>
        <v>14</v>
      </c>
      <c r="J2">
        <f ca="1"/>
        <v>70</v>
      </c>
      <c r="K2">
        <f ca="1"/>
        <v>74</v>
      </c>
      <c r="L2">
        <f ca="1"/>
        <v>72</v>
      </c>
    </row>
    <row r="3" spans="1:12" x14ac:dyDescent="0.3">
      <c r="A3">
        <v>102</v>
      </c>
      <c r="C3">
        <f ca="1"/>
        <v>26</v>
      </c>
      <c r="D3">
        <f ca="1"/>
        <v>31</v>
      </c>
      <c r="E3">
        <f ca="1"/>
        <v>82</v>
      </c>
      <c r="F3">
        <f ca="1"/>
        <v>99</v>
      </c>
      <c r="G3">
        <f ca="1"/>
        <v>10</v>
      </c>
      <c r="H3">
        <f ca="1"/>
        <v>29</v>
      </c>
      <c r="I3">
        <f ca="1"/>
        <v>73</v>
      </c>
      <c r="J3">
        <f ca="1"/>
        <v>44</v>
      </c>
      <c r="K3">
        <f ca="1"/>
        <v>66</v>
      </c>
      <c r="L3">
        <f ca="1"/>
        <v>82</v>
      </c>
    </row>
    <row r="4" spans="1:12" x14ac:dyDescent="0.3">
      <c r="A4">
        <v>153</v>
      </c>
      <c r="C4">
        <f ca="1"/>
        <v>18</v>
      </c>
      <c r="D4">
        <f ca="1"/>
        <v>85</v>
      </c>
      <c r="E4">
        <f ca="1"/>
        <v>66</v>
      </c>
      <c r="F4">
        <f ca="1"/>
        <v>35</v>
      </c>
      <c r="G4">
        <f ca="1"/>
        <v>5</v>
      </c>
      <c r="H4">
        <f ca="1"/>
        <v>80</v>
      </c>
      <c r="I4">
        <f ca="1"/>
        <v>72</v>
      </c>
      <c r="J4">
        <f ca="1"/>
        <v>13</v>
      </c>
      <c r="K4">
        <f ca="1"/>
        <v>35</v>
      </c>
      <c r="L4">
        <f ca="1"/>
        <v>30</v>
      </c>
    </row>
    <row r="5" spans="1:12" x14ac:dyDescent="0.3">
      <c r="A5">
        <v>204</v>
      </c>
    </row>
    <row r="6" spans="1:12" x14ac:dyDescent="0.3">
      <c r="A6">
        <v>255</v>
      </c>
    </row>
    <row r="7" spans="1:12" x14ac:dyDescent="0.3">
      <c r="A7">
        <v>306</v>
      </c>
    </row>
    <row r="8" spans="1:12" x14ac:dyDescent="0.3">
      <c r="A8">
        <v>357</v>
      </c>
    </row>
    <row r="9" spans="1:12" x14ac:dyDescent="0.3">
      <c r="A9">
        <v>408</v>
      </c>
    </row>
    <row r="10" spans="1:12" x14ac:dyDescent="0.3">
      <c r="A10">
        <v>459</v>
      </c>
    </row>
    <row r="11" spans="1:12" x14ac:dyDescent="0.3">
      <c r="A11">
        <v>510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642D-0F41-4FA2-BA45-9C4E3F8B7AD6}">
  <sheetPr codeName="Sheet12"/>
  <dimension ref="A1:F11"/>
  <sheetViews>
    <sheetView zoomScale="175" zoomScaleNormal="175" workbookViewId="0">
      <selection activeCell="B10" sqref="B10"/>
    </sheetView>
  </sheetViews>
  <sheetFormatPr defaultRowHeight="14.4" x14ac:dyDescent="0.3"/>
  <cols>
    <col min="1" max="1" width="11.33203125" bestFit="1" customWidth="1"/>
    <col min="2" max="2" width="11.109375" bestFit="1" customWidth="1"/>
    <col min="3" max="3" width="10" bestFit="1" customWidth="1"/>
    <col min="5" max="5" width="11.33203125" bestFit="1" customWidth="1"/>
    <col min="6" max="6" width="12.44140625" customWidth="1"/>
  </cols>
  <sheetData>
    <row r="1" spans="1:6" x14ac:dyDescent="0.3">
      <c r="A1" s="16" t="s">
        <v>16</v>
      </c>
      <c r="B1" s="16" t="s">
        <v>53</v>
      </c>
      <c r="E1" s="16" t="s">
        <v>0</v>
      </c>
      <c r="F1" s="16" t="s">
        <v>52</v>
      </c>
    </row>
    <row r="2" spans="1:6" x14ac:dyDescent="0.3">
      <c r="A2" s="8" t="s">
        <v>56</v>
      </c>
      <c r="B2" s="8">
        <v>99</v>
      </c>
      <c r="E2" s="8" t="s">
        <v>54</v>
      </c>
      <c r="F2" s="8" t="s">
        <v>69</v>
      </c>
    </row>
    <row r="3" spans="1:6" x14ac:dyDescent="0.3">
      <c r="A3" s="8" t="s">
        <v>59</v>
      </c>
      <c r="B3" s="8">
        <v>65</v>
      </c>
      <c r="E3" s="8" t="s">
        <v>57</v>
      </c>
      <c r="F3" s="8" t="s">
        <v>58</v>
      </c>
    </row>
    <row r="4" spans="1:6" x14ac:dyDescent="0.3">
      <c r="A4" s="8" t="s">
        <v>62</v>
      </c>
      <c r="B4" s="8">
        <v>32</v>
      </c>
      <c r="E4" s="8" t="s">
        <v>60</v>
      </c>
      <c r="F4" s="8" t="s">
        <v>61</v>
      </c>
    </row>
    <row r="5" spans="1:6" x14ac:dyDescent="0.3">
      <c r="A5" s="8" t="s">
        <v>56</v>
      </c>
      <c r="B5" s="8">
        <v>65</v>
      </c>
      <c r="E5" s="8" t="s">
        <v>63</v>
      </c>
      <c r="F5" s="8" t="s">
        <v>64</v>
      </c>
    </row>
    <row r="6" spans="1:6" x14ac:dyDescent="0.3">
      <c r="A6" s="8" t="s">
        <v>59</v>
      </c>
      <c r="B6" s="8">
        <v>98</v>
      </c>
      <c r="E6" s="8" t="s">
        <v>65</v>
      </c>
      <c r="F6" s="8" t="s">
        <v>55</v>
      </c>
    </row>
    <row r="7" spans="1:6" x14ac:dyDescent="0.3">
      <c r="A7" s="8" t="s">
        <v>62</v>
      </c>
      <c r="B7" s="8">
        <v>65</v>
      </c>
      <c r="E7" s="8" t="s">
        <v>66</v>
      </c>
      <c r="F7" s="8" t="s">
        <v>58</v>
      </c>
    </row>
    <row r="8" spans="1:6" x14ac:dyDescent="0.3">
      <c r="A8" s="8" t="s">
        <v>56</v>
      </c>
      <c r="B8" s="8">
        <v>32</v>
      </c>
      <c r="E8" s="8" t="s">
        <v>67</v>
      </c>
      <c r="F8" s="8" t="s">
        <v>64</v>
      </c>
    </row>
    <row r="9" spans="1:6" x14ac:dyDescent="0.3">
      <c r="A9" s="8" t="s">
        <v>59</v>
      </c>
      <c r="B9" s="8">
        <v>65</v>
      </c>
      <c r="E9" s="8" t="s">
        <v>68</v>
      </c>
      <c r="F9" s="8" t="s">
        <v>69</v>
      </c>
    </row>
    <row r="10" spans="1:6" x14ac:dyDescent="0.3">
      <c r="A10" s="8" t="s">
        <v>62</v>
      </c>
      <c r="B10" s="8">
        <v>54</v>
      </c>
      <c r="E10" s="8" t="s">
        <v>70</v>
      </c>
      <c r="F10" s="8" t="s">
        <v>69</v>
      </c>
    </row>
    <row r="11" spans="1:6" x14ac:dyDescent="0.3">
      <c r="A11" s="8" t="s">
        <v>56</v>
      </c>
      <c r="B11" s="8">
        <v>65</v>
      </c>
      <c r="E11" s="8" t="s">
        <v>71</v>
      </c>
      <c r="F11" s="8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BF23-5C5A-4E58-91E7-1B3C11AC4EF1}">
  <sheetPr codeName="Sheet13"/>
  <dimension ref="A1:B14"/>
  <sheetViews>
    <sheetView topLeftCell="A4" zoomScale="175" zoomScaleNormal="145" workbookViewId="0">
      <selection activeCell="A4" sqref="A4"/>
    </sheetView>
  </sheetViews>
  <sheetFormatPr defaultRowHeight="14.4" x14ac:dyDescent="0.3"/>
  <cols>
    <col min="1" max="1" width="15" customWidth="1"/>
  </cols>
  <sheetData>
    <row r="1" spans="1:2" x14ac:dyDescent="0.3">
      <c r="A1" t="s">
        <v>96</v>
      </c>
      <c r="B1" t="s">
        <v>53</v>
      </c>
    </row>
    <row r="2" spans="1:2" x14ac:dyDescent="0.3">
      <c r="A2" t="s">
        <v>95</v>
      </c>
      <c r="B2">
        <v>320</v>
      </c>
    </row>
    <row r="3" spans="1:2" x14ac:dyDescent="0.3">
      <c r="A3" t="s">
        <v>94</v>
      </c>
      <c r="B3">
        <v>80</v>
      </c>
    </row>
    <row r="4" spans="1:2" x14ac:dyDescent="0.3">
      <c r="A4" t="s">
        <v>93</v>
      </c>
      <c r="B4">
        <v>50</v>
      </c>
    </row>
    <row r="5" spans="1:2" x14ac:dyDescent="0.3">
      <c r="A5" t="s">
        <v>119</v>
      </c>
      <c r="B5">
        <v>250</v>
      </c>
    </row>
    <row r="6" spans="1:2" x14ac:dyDescent="0.3">
      <c r="A6" t="s">
        <v>92</v>
      </c>
      <c r="B6">
        <v>50</v>
      </c>
    </row>
    <row r="9" spans="1:2" x14ac:dyDescent="0.3">
      <c r="A9" t="s">
        <v>91</v>
      </c>
      <c r="B9" t="s">
        <v>53</v>
      </c>
    </row>
    <row r="10" spans="1:2" x14ac:dyDescent="0.3">
      <c r="A10" t="s">
        <v>90</v>
      </c>
      <c r="B10">
        <v>500</v>
      </c>
    </row>
    <row r="11" spans="1:2" x14ac:dyDescent="0.3">
      <c r="A11" t="s">
        <v>89</v>
      </c>
      <c r="B11">
        <v>35</v>
      </c>
    </row>
    <row r="12" spans="1:2" x14ac:dyDescent="0.3">
      <c r="A12" t="s">
        <v>88</v>
      </c>
      <c r="B12">
        <v>20</v>
      </c>
    </row>
    <row r="13" spans="1:2" x14ac:dyDescent="0.3">
      <c r="A13" t="s">
        <v>120</v>
      </c>
      <c r="B13">
        <v>80</v>
      </c>
    </row>
    <row r="14" spans="1:2" x14ac:dyDescent="0.3">
      <c r="A14" t="s">
        <v>87</v>
      </c>
      <c r="B14">
        <v>50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E057-C489-4C79-AFD9-F79334CA0641}">
  <sheetPr codeName="Sheet14"/>
  <dimension ref="B2:D7"/>
  <sheetViews>
    <sheetView showGridLines="0" zoomScale="175" zoomScaleNormal="175" workbookViewId="0">
      <selection activeCell="C10" sqref="C10"/>
    </sheetView>
  </sheetViews>
  <sheetFormatPr defaultRowHeight="14.4" x14ac:dyDescent="0.3"/>
  <cols>
    <col min="2" max="2" width="3.88671875" customWidth="1"/>
    <col min="3" max="3" width="13.109375" bestFit="1" customWidth="1"/>
    <col min="4" max="4" width="16" bestFit="1" customWidth="1"/>
  </cols>
  <sheetData>
    <row r="2" spans="2:4" x14ac:dyDescent="0.3">
      <c r="B2" s="23" t="s">
        <v>111</v>
      </c>
    </row>
    <row r="4" spans="2:4" x14ac:dyDescent="0.3">
      <c r="C4" s="24" t="s">
        <v>113</v>
      </c>
      <c r="D4" t="s">
        <v>112</v>
      </c>
    </row>
    <row r="5" spans="2:4" x14ac:dyDescent="0.3">
      <c r="C5" s="22" t="s">
        <v>69</v>
      </c>
      <c r="D5">
        <v>3</v>
      </c>
    </row>
    <row r="6" spans="2:4" x14ac:dyDescent="0.3">
      <c r="C6" s="22" t="s">
        <v>58</v>
      </c>
      <c r="D6">
        <v>3</v>
      </c>
    </row>
    <row r="7" spans="2:4" x14ac:dyDescent="0.3">
      <c r="C7" s="22" t="s">
        <v>114</v>
      </c>
      <c r="D7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86C2-2F77-4C5F-A002-D0BCF080DED7}">
  <sheetPr codeName="Sheet15"/>
  <dimension ref="B2:D8"/>
  <sheetViews>
    <sheetView showGridLines="0" workbookViewId="0"/>
  </sheetViews>
  <sheetFormatPr defaultRowHeight="14.4" x14ac:dyDescent="0.3"/>
  <cols>
    <col min="2" max="2" width="3.88671875" customWidth="1"/>
    <col min="3" max="3" width="13.109375" bestFit="1" customWidth="1"/>
    <col min="4" max="4" width="12.109375" bestFit="1" customWidth="1"/>
  </cols>
  <sheetData>
    <row r="2" spans="2:4" x14ac:dyDescent="0.3">
      <c r="B2" s="23" t="s">
        <v>115</v>
      </c>
    </row>
    <row r="4" spans="2:4" x14ac:dyDescent="0.3">
      <c r="C4" s="24" t="s">
        <v>113</v>
      </c>
      <c r="D4" t="s">
        <v>116</v>
      </c>
    </row>
    <row r="5" spans="2:4" x14ac:dyDescent="0.3">
      <c r="C5" s="22" t="s">
        <v>56</v>
      </c>
      <c r="D5">
        <v>261</v>
      </c>
    </row>
    <row r="6" spans="2:4" x14ac:dyDescent="0.3">
      <c r="C6" s="22" t="s">
        <v>59</v>
      </c>
      <c r="D6">
        <v>228</v>
      </c>
    </row>
    <row r="7" spans="2:4" x14ac:dyDescent="0.3">
      <c r="C7" s="22" t="s">
        <v>62</v>
      </c>
      <c r="D7">
        <v>151</v>
      </c>
    </row>
    <row r="8" spans="2:4" x14ac:dyDescent="0.3">
      <c r="C8" s="22" t="s">
        <v>114</v>
      </c>
      <c r="D8">
        <v>640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9536-779E-4F26-B9FF-CA7248CD04D9}">
  <sheetPr codeName="Sheet16"/>
  <dimension ref="B2:D8"/>
  <sheetViews>
    <sheetView showGridLines="0" workbookViewId="0">
      <selection activeCell="C4" sqref="C4:D8"/>
    </sheetView>
  </sheetViews>
  <sheetFormatPr defaultRowHeight="14.4" x14ac:dyDescent="0.3"/>
  <cols>
    <col min="2" max="2" width="3.88671875" customWidth="1"/>
    <col min="3" max="3" width="13.109375" bestFit="1" customWidth="1"/>
    <col min="4" max="4" width="12.109375" bestFit="1" customWidth="1"/>
  </cols>
  <sheetData>
    <row r="2" spans="2:4" x14ac:dyDescent="0.3">
      <c r="B2" s="23" t="s">
        <v>118</v>
      </c>
    </row>
    <row r="4" spans="2:4" x14ac:dyDescent="0.3">
      <c r="C4" s="24" t="s">
        <v>113</v>
      </c>
      <c r="D4" t="s">
        <v>116</v>
      </c>
    </row>
    <row r="5" spans="2:4" x14ac:dyDescent="0.3">
      <c r="C5" s="22" t="s">
        <v>56</v>
      </c>
      <c r="D5">
        <v>261</v>
      </c>
    </row>
    <row r="6" spans="2:4" x14ac:dyDescent="0.3">
      <c r="C6" s="22" t="s">
        <v>59</v>
      </c>
      <c r="D6">
        <v>228</v>
      </c>
    </row>
    <row r="7" spans="2:4" x14ac:dyDescent="0.3">
      <c r="C7" s="22" t="s">
        <v>62</v>
      </c>
      <c r="D7">
        <v>151</v>
      </c>
    </row>
    <row r="8" spans="2:4" x14ac:dyDescent="0.3">
      <c r="C8" s="22" t="s">
        <v>114</v>
      </c>
      <c r="D8">
        <v>640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SWITCH</vt:lpstr>
      <vt:lpstr>TEXT JOIN FORMULA</vt:lpstr>
      <vt:lpstr>IFS FORMULA</vt:lpstr>
      <vt:lpstr>MAXIFS AND MINIFS</vt:lpstr>
      <vt:lpstr>FILTER FORMULA</vt:lpstr>
      <vt:lpstr>SORT FORMULA</vt:lpstr>
      <vt:lpstr>UNIQUE</vt:lpstr>
      <vt:lpstr>XLOOKUP IN EXCEL</vt:lpstr>
      <vt:lpstr> XMATCH</vt:lpstr>
      <vt:lpstr>SEQUENCE</vt:lpstr>
      <vt:lpstr>ANALYZE DATA</vt:lpstr>
      <vt:lpstr>MAP CHART</vt:lpstr>
      <vt:lpstr>Suggestion1</vt:lpstr>
      <vt:lpstr>Suggestion2</vt:lpstr>
      <vt:lpstr>Suggestion3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</dc:creator>
  <cp:lastModifiedBy>Saurav Kumar</cp:lastModifiedBy>
  <dcterms:created xsi:type="dcterms:W3CDTF">2020-12-11T04:45:30Z</dcterms:created>
  <dcterms:modified xsi:type="dcterms:W3CDTF">2026-10-18T01:35:28Z</dcterms:modified>
</cp:coreProperties>
</file>