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Excel Beginners to Advance\"/>
    </mc:Choice>
  </mc:AlternateContent>
  <xr:revisionPtr revIDLastSave="0" documentId="13_ncr:1_{F6308316-EBFD-423B-B664-A6F4A2CEE7D4}" xr6:coauthVersionLast="47" xr6:coauthVersionMax="47" xr10:uidLastSave="{00000000-0000-0000-0000-000000000000}"/>
  <bookViews>
    <workbookView xWindow="22932" yWindow="-108" windowWidth="23256" windowHeight="13176" xr2:uid="{AD9D253A-06FE-42CD-BC84-CC38115B837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3" l="1" a="1"/>
  <c r="D4" i="3" a="1"/>
  <c r="D5" i="3" a="1"/>
  <c r="D6" i="3" a="1"/>
  <c r="D7" i="3" a="1"/>
  <c r="D2" i="3" a="1"/>
  <c r="I4" i="1"/>
  <c r="I5" i="1"/>
  <c r="I6" i="1"/>
  <c r="H4" i="1"/>
  <c r="H5" i="1"/>
  <c r="H6" i="1"/>
  <c r="G3" i="1"/>
  <c r="G4" i="1"/>
  <c r="G5" i="1"/>
  <c r="G6" i="1"/>
  <c r="G2" i="1"/>
  <c r="F2" i="1"/>
  <c r="F3" i="1"/>
  <c r="F4" i="1"/>
  <c r="F5" i="1"/>
  <c r="F6" i="1"/>
  <c r="F3" i="2"/>
  <c r="F4" i="2"/>
  <c r="F5" i="2"/>
  <c r="F6" i="2"/>
  <c r="F2" i="2"/>
  <c r="E3" i="2"/>
  <c r="E4" i="2"/>
  <c r="E5" i="2"/>
  <c r="E6" i="2"/>
  <c r="E2" i="2"/>
  <c r="D3" i="3" l="1"/>
  <c r="D4" i="3"/>
  <c r="D5" i="3"/>
  <c r="D6" i="3"/>
  <c r="D7" i="3"/>
  <c r="D2" i="3"/>
  <c r="I3" i="1"/>
  <c r="H3" i="1"/>
  <c r="I2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<sst xmlns="http://schemas.openxmlformats.org/spreadsheetml/2006/main" count="48" uniqueCount="37">
  <si>
    <t>Sr No.</t>
  </si>
  <si>
    <t>Name of Student</t>
  </si>
  <si>
    <t>Sub1</t>
  </si>
  <si>
    <t>Sub2</t>
  </si>
  <si>
    <t>Sub3</t>
  </si>
  <si>
    <t>A</t>
  </si>
  <si>
    <t>B</t>
  </si>
  <si>
    <t>C</t>
  </si>
  <si>
    <t>D</t>
  </si>
  <si>
    <t>E</t>
  </si>
  <si>
    <t>Result</t>
  </si>
  <si>
    <t>Sr No</t>
  </si>
  <si>
    <t>Emp</t>
  </si>
  <si>
    <t>Days</t>
  </si>
  <si>
    <t>Promotion: Yes/No</t>
  </si>
  <si>
    <t>Performance/10</t>
  </si>
  <si>
    <t>Customer</t>
  </si>
  <si>
    <t>Quantity Order</t>
  </si>
  <si>
    <t>Conditions</t>
  </si>
  <si>
    <t>Discount%</t>
  </si>
  <si>
    <t>Greater than equal to 5</t>
  </si>
  <si>
    <t>Greater than equal to 10</t>
  </si>
  <si>
    <t>Lessn than 5</t>
  </si>
  <si>
    <t>Anil</t>
  </si>
  <si>
    <t>Vikas</t>
  </si>
  <si>
    <t>Sachin</t>
  </si>
  <si>
    <t>Vijay</t>
  </si>
  <si>
    <t>Virat</t>
  </si>
  <si>
    <t>Snehal</t>
  </si>
  <si>
    <t>%Age</t>
  </si>
  <si>
    <t>Pass</t>
  </si>
  <si>
    <t>Fail</t>
  </si>
  <si>
    <t>A++</t>
  </si>
  <si>
    <t>A+</t>
  </si>
  <si>
    <t>Only Grade</t>
  </si>
  <si>
    <t>Grade with Result Condition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</si>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</sst>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I13"/>
  <sheetViews>
    <sheetView tabSelected="1" topLeftCell="B1" zoomScale="175" zoomScaleNormal="175" workbookViewId="0">
      <selection activeCell="D15" sqref="D15"/>
    </sheetView>
  </sheetViews>
  <sheetFormatPr defaultRowHeight="14.4" x14ac:dyDescent="0.3"/>
  <cols>
    <col min="1" max="1" width="9.88671875" customWidth="1"/>
    <col min="2" max="2" width="14.44140625" bestFit="1" customWidth="1"/>
    <col min="6" max="6" width="10.5546875" bestFit="1" customWidth="1"/>
    <col min="8" max="8" width="13.109375" customWidth="1"/>
    <col min="9" max="9" width="23.44140625" bestFit="1" customWidth="1"/>
    <col min="11" max="11" width="10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29</v>
      </c>
      <c r="H1" t="s">
        <v>34</v>
      </c>
      <c r="I1" t="s">
        <v>35</v>
      </c>
    </row>
    <row r="2" spans="1:9" x14ac:dyDescent="0.3">
      <c r="A2">
        <v>1</v>
      </c>
      <c r="B2" t="s">
        <v>5</v>
      </c>
      <c r="C2" s="1">
        <v>95</v>
      </c>
      <c r="D2" s="1">
        <v>98</v>
      </c>
      <c r="E2" s="1">
        <v>90</v>
      </c>
      <c r="F2" t="str">
        <f>IF(AND(C2&gt;=35,D2&gt;=35,E2&gt;=35),"Pass","Fail")</f>
        <v>Pass</v>
      </c>
      <c r="G2" s="4">
        <f>SUM(C2:E2)/300*100</f>
        <v>94.333333333333343</v>
      </c>
      <c r="H2" t="str">
        <f>IF(G2&gt;=90,"A++",IF(G2&gt;=75,"A+",IF(G2&gt;=60,"A",IF(G2&gt;=45,"B",IF(G2&gt;=35,"C","FAIL")))))</f>
        <v>A++</v>
      </c>
      <c r="I2" t="str">
        <f>IF(F2="Fail","Fail",IF(G2&gt;=90,"A++",IF(G2&gt;=75,"A+",IF(G2&gt;=60,"A",IF(G2&gt;=45,"B",IF(G2&gt;=35,"C","Fail"))))))</f>
        <v>A++</v>
      </c>
    </row>
    <row r="3" spans="1:9" x14ac:dyDescent="0.3">
      <c r="A3">
        <v>2</v>
      </c>
      <c r="B3" t="s">
        <v>6</v>
      </c>
      <c r="C3" s="1">
        <v>36</v>
      </c>
      <c r="D3" s="1">
        <v>42</v>
      </c>
      <c r="E3" s="1">
        <v>35</v>
      </c>
      <c r="F3" t="str">
        <f t="shared" ref="F3:F6" si="0">IF(AND(C3&gt;=35,D3&gt;=35,E3&gt;=35),"Pass","Fail")</f>
        <v>Pass</v>
      </c>
      <c r="G3" s="4">
        <f t="shared" ref="G3:G6" si="1">SUM(C3:E3)/300*100</f>
        <v>37.666666666666664</v>
      </c>
      <c r="H3" t="str">
        <f t="shared" ref="H3:H6" si="2">IF(G3&gt;=90,"A++",IF(G3&gt;=75,"A+",IF(G3&gt;=60,"A",IF(G3&gt;=45,"B",IF(G3&gt;=35,"C","FAIL")))))</f>
        <v>C</v>
      </c>
      <c r="I3" t="str">
        <f t="shared" ref="I3:I6" si="3">IF(F3="Fail","Fail",IF(G3&gt;=90,"A++",IF(G3&gt;=75,"A+",IF(G3&gt;=60,"A",IF(G3&gt;=45,"B",IF(G3&gt;=35,"C","Fail"))))))</f>
        <v>C</v>
      </c>
    </row>
    <row r="4" spans="1:9" x14ac:dyDescent="0.3">
      <c r="A4">
        <v>3</v>
      </c>
      <c r="B4" t="s">
        <v>7</v>
      </c>
      <c r="C4" s="1">
        <v>70</v>
      </c>
      <c r="D4" s="1">
        <v>65</v>
      </c>
      <c r="E4" s="1">
        <v>80</v>
      </c>
      <c r="F4" t="str">
        <f t="shared" si="0"/>
        <v>Pass</v>
      </c>
      <c r="G4" s="4">
        <f t="shared" si="1"/>
        <v>71.666666666666671</v>
      </c>
      <c r="H4" t="str">
        <f t="shared" si="2"/>
        <v>A</v>
      </c>
      <c r="I4" t="str">
        <f t="shared" si="3"/>
        <v>A</v>
      </c>
    </row>
    <row r="5" spans="1:9" x14ac:dyDescent="0.3">
      <c r="A5">
        <v>4</v>
      </c>
      <c r="B5" t="s">
        <v>8</v>
      </c>
      <c r="C5" s="1">
        <v>35</v>
      </c>
      <c r="D5" s="1">
        <v>55</v>
      </c>
      <c r="E5" s="1">
        <v>73</v>
      </c>
      <c r="F5" t="str">
        <f t="shared" si="0"/>
        <v>Pass</v>
      </c>
      <c r="G5" s="4">
        <f t="shared" si="1"/>
        <v>54.333333333333336</v>
      </c>
      <c r="H5" t="str">
        <f t="shared" si="2"/>
        <v>B</v>
      </c>
      <c r="I5" t="str">
        <f t="shared" si="3"/>
        <v>B</v>
      </c>
    </row>
    <row r="6" spans="1:9" x14ac:dyDescent="0.3">
      <c r="A6">
        <v>5</v>
      </c>
      <c r="B6" t="s">
        <v>9</v>
      </c>
      <c r="C6" s="1">
        <v>28</v>
      </c>
      <c r="D6" s="1">
        <v>88</v>
      </c>
      <c r="E6" s="1">
        <v>87</v>
      </c>
      <c r="F6" t="str">
        <f t="shared" si="0"/>
        <v>Fail</v>
      </c>
      <c r="G6" s="4">
        <f t="shared" si="1"/>
        <v>67.666666666666657</v>
      </c>
      <c r="H6" t="str">
        <f t="shared" si="2"/>
        <v>A</v>
      </c>
      <c r="I6" t="str">
        <f t="shared" si="3"/>
        <v>Fail</v>
      </c>
    </row>
    <row r="7" spans="1:9" x14ac:dyDescent="0.3">
      <c r="C7" s="1"/>
    </row>
    <row r="8" spans="1:9" x14ac:dyDescent="0.3">
      <c r="C8" s="1"/>
    </row>
    <row r="9" spans="1:9" x14ac:dyDescent="0.3">
      <c r="D9" t="s">
        <v>30</v>
      </c>
      <c r="E9" t="s">
        <v>29</v>
      </c>
      <c r="F9">
        <v>90</v>
      </c>
      <c r="G9" t="s">
        <v>32</v>
      </c>
    </row>
    <row r="10" spans="1:9" x14ac:dyDescent="0.3">
      <c r="D10" t="s">
        <v>31</v>
      </c>
      <c r="E10" t="s">
        <v>31</v>
      </c>
      <c r="F10">
        <v>75</v>
      </c>
      <c r="G10" t="s">
        <v>33</v>
      </c>
    </row>
    <row r="11" spans="1:9" x14ac:dyDescent="0.3">
      <c r="F11">
        <v>60</v>
      </c>
      <c r="G11" t="s">
        <v>5</v>
      </c>
    </row>
    <row r="12" spans="1:9" x14ac:dyDescent="0.3">
      <c r="F12">
        <v>45</v>
      </c>
      <c r="G12" t="s">
        <v>6</v>
      </c>
    </row>
    <row r="13" spans="1:9" x14ac:dyDescent="0.3">
      <c r="F13">
        <v>35</v>
      </c>
      <c r="G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7754-7E0D-4727-9D84-4838E7DC5F81}">
  <dimension ref="A1:F6"/>
  <sheetViews>
    <sheetView zoomScale="205" zoomScaleNormal="205" workbookViewId="0">
      <selection activeCell="F2" sqref="F2:F6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16.21875" bestFit="1" customWidth="1"/>
  </cols>
  <sheetData>
    <row r="1" spans="1:6" x14ac:dyDescent="0.3">
      <c r="A1" t="s">
        <v>11</v>
      </c>
      <c r="B1" t="s">
        <v>12</v>
      </c>
      <c r="C1" s="2" t="s">
        <v>13</v>
      </c>
      <c r="D1" t="s">
        <v>15</v>
      </c>
      <c r="E1" t="s">
        <v>14</v>
      </c>
    </row>
    <row r="2" spans="1:6" x14ac:dyDescent="0.3">
      <c r="A2">
        <v>1</v>
      </c>
      <c r="B2" t="s">
        <v>5</v>
      </c>
      <c r="C2" s="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 x14ac:dyDescent="0.3">
      <c r="A3">
        <v>2</v>
      </c>
      <c r="B3" t="s">
        <v>6</v>
      </c>
      <c r="C3" s="2">
        <v>145</v>
      </c>
      <c r="D3">
        <v>5</v>
      </c>
      <c r="E3" t="str">
        <f t="shared" ref="E3:E6" si="0">IF(AND(C3&gt;=130,D3&gt;=5),"YES","NO")</f>
        <v>YES</v>
      </c>
      <c r="F3" t="str">
        <f t="shared" ref="F3:F6" si="1">IF(OR(C3&gt;=130,D3&gt;=5),"YES","NO")</f>
        <v>YES</v>
      </c>
    </row>
    <row r="4" spans="1:6" x14ac:dyDescent="0.3">
      <c r="A4">
        <v>3</v>
      </c>
      <c r="B4" t="s">
        <v>7</v>
      </c>
      <c r="C4" s="2">
        <v>123</v>
      </c>
      <c r="D4">
        <v>6</v>
      </c>
      <c r="E4" t="str">
        <f t="shared" si="0"/>
        <v>NO</v>
      </c>
      <c r="F4" t="str">
        <f t="shared" si="1"/>
        <v>YES</v>
      </c>
    </row>
    <row r="5" spans="1:6" x14ac:dyDescent="0.3">
      <c r="A5">
        <v>4</v>
      </c>
      <c r="B5" t="s">
        <v>8</v>
      </c>
      <c r="C5" s="2">
        <v>121</v>
      </c>
      <c r="D5">
        <v>3</v>
      </c>
      <c r="E5" t="str">
        <f t="shared" si="0"/>
        <v>NO</v>
      </c>
      <c r="F5" t="str">
        <f t="shared" si="1"/>
        <v>NO</v>
      </c>
    </row>
    <row r="6" spans="1:6" x14ac:dyDescent="0.3">
      <c r="A6">
        <v>5</v>
      </c>
      <c r="B6" t="s">
        <v>9</v>
      </c>
      <c r="C6" s="2">
        <v>141</v>
      </c>
      <c r="D6">
        <v>4</v>
      </c>
      <c r="E6" t="str">
        <f t="shared" si="0"/>
        <v>NO</v>
      </c>
      <c r="F6" t="str">
        <f t="shared" si="1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FDFE-08F3-4AFC-8957-A700528FCF4A}">
  <dimension ref="A1:H7"/>
  <sheetViews>
    <sheetView zoomScale="190" zoomScaleNormal="190" workbookViewId="0">
      <selection activeCell="D2" sqref="D2"/>
    </sheetView>
  </sheetViews>
  <sheetFormatPr defaultRowHeight="14.4" x14ac:dyDescent="0.3"/>
  <cols>
    <col min="2" max="2" width="9.6640625" customWidth="1"/>
    <col min="3" max="3" width="13.21875" customWidth="1"/>
    <col min="4" max="4" width="9.77734375" bestFit="1" customWidth="1"/>
    <col min="7" max="7" width="20.44140625" bestFit="1" customWidth="1"/>
  </cols>
  <sheetData>
    <row r="1" spans="1:8" x14ac:dyDescent="0.3">
      <c r="A1" t="s">
        <v>11</v>
      </c>
      <c r="B1" t="s">
        <v>16</v>
      </c>
      <c r="C1" t="s">
        <v>17</v>
      </c>
      <c r="D1" t="s">
        <v>19</v>
      </c>
      <c r="G1" t="s">
        <v>18</v>
      </c>
    </row>
    <row r="2" spans="1:8" x14ac:dyDescent="0.3">
      <c r="A2">
        <v>1</v>
      </c>
      <c r="B2" t="s">
        <v>23</v>
      </c>
      <c r="C2">
        <v>18</v>
      </c>
      <c r="D2" s="5" cm="1">
        <f t="array" ref="D2">_xlfn.IFS(C2&gt;=10,20%,C2&gt;=5,10%,C2&lt;5,0)</f>
        <v>0.2</v>
      </c>
      <c r="G2" t="s">
        <v>21</v>
      </c>
      <c r="H2" s="3">
        <v>0.2</v>
      </c>
    </row>
    <row r="3" spans="1:8" x14ac:dyDescent="0.3">
      <c r="A3">
        <v>2</v>
      </c>
      <c r="B3" t="s">
        <v>24</v>
      </c>
      <c r="C3">
        <v>3</v>
      </c>
      <c r="D3" s="5" cm="1">
        <f t="array" ref="D3">_xlfn.IFS(C3&gt;=10,20%,C3&gt;=5,10%,C3&lt;5,0)</f>
        <v>0</v>
      </c>
      <c r="G3" t="s">
        <v>20</v>
      </c>
      <c r="H3" s="3">
        <v>0.1</v>
      </c>
    </row>
    <row r="4" spans="1:8" x14ac:dyDescent="0.3">
      <c r="A4">
        <v>3</v>
      </c>
      <c r="B4" t="s">
        <v>25</v>
      </c>
      <c r="C4">
        <v>11</v>
      </c>
      <c r="D4" s="5" cm="1">
        <f t="array" ref="D4">_xlfn.IFS(C4&gt;=10,20%,C4&gt;=5,10%,C4&lt;5,0)</f>
        <v>0.2</v>
      </c>
      <c r="G4" t="s">
        <v>22</v>
      </c>
      <c r="H4" s="3">
        <v>0</v>
      </c>
    </row>
    <row r="5" spans="1:8" x14ac:dyDescent="0.3">
      <c r="A5">
        <v>4</v>
      </c>
      <c r="B5" t="s">
        <v>26</v>
      </c>
      <c r="C5">
        <v>6</v>
      </c>
      <c r="D5" s="5" cm="1">
        <f t="array" ref="D5">_xlfn.IFS(C5&gt;=10,20%,C5&gt;=5,10%,C5&lt;5,0)</f>
        <v>0.1</v>
      </c>
    </row>
    <row r="6" spans="1:8" x14ac:dyDescent="0.3">
      <c r="A6">
        <v>5</v>
      </c>
      <c r="B6" t="s">
        <v>27</v>
      </c>
      <c r="C6">
        <v>7</v>
      </c>
      <c r="D6" s="5" cm="1">
        <f t="array" ref="D6">_xlfn.IFS(C6&gt;=10,20%,C6&gt;=5,10%,C6&lt;5,0)</f>
        <v>0.1</v>
      </c>
    </row>
    <row r="7" spans="1:8" x14ac:dyDescent="0.3">
      <c r="A7">
        <v>6</v>
      </c>
      <c r="B7" t="s">
        <v>28</v>
      </c>
      <c r="C7">
        <v>4</v>
      </c>
      <c r="D7" s="5" cm="1">
        <f t="array" ref="D7">_xlfn.IFS(C7&gt;=10,20%,C7&gt;=5,10%,C7&lt;5,0)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660-D9B2-4B8C-9859-AFC200AF1AC0}">
  <dimension ref="B1:B9"/>
  <sheetViews>
    <sheetView zoomScale="205" zoomScaleNormal="205" workbookViewId="0">
      <selection activeCell="C9" sqref="C9"/>
    </sheetView>
  </sheetViews>
  <sheetFormatPr defaultRowHeight="14.4" x14ac:dyDescent="0.3"/>
  <sheetData>
    <row r="1" spans="2:2" x14ac:dyDescent="0.3">
      <c r="B1" t="s">
        <v>36</v>
      </c>
    </row>
    <row r="2" spans="2:2" x14ac:dyDescent="0.3">
      <c r="B2">
        <v>5</v>
      </c>
    </row>
    <row r="3" spans="2:2" x14ac:dyDescent="0.3">
      <c r="B3">
        <v>2</v>
      </c>
    </row>
    <row r="4" spans="2:2" x14ac:dyDescent="0.3">
      <c r="B4">
        <v>3</v>
      </c>
    </row>
    <row r="5" spans="2:2" x14ac:dyDescent="0.3">
      <c r="B5">
        <v>4</v>
      </c>
    </row>
    <row r="6" spans="2:2" x14ac:dyDescent="0.3">
      <c r="B6">
        <v>5</v>
      </c>
    </row>
    <row r="7" spans="2:2" x14ac:dyDescent="0.3">
      <c r="B7">
        <v>1</v>
      </c>
    </row>
    <row r="8" spans="2:2" x14ac:dyDescent="0.3">
      <c r="B8">
        <v>2</v>
      </c>
    </row>
    <row r="9" spans="2:2" x14ac:dyDescent="0.3"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2026-04-30T07:29:33Z</dcterms:created>
  <dcterms:modified xsi:type="dcterms:W3CDTF">2026-05-03T08:03:26Z</dcterms:modified>
</cp:coreProperties>
</file>