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tish\Documents\"/>
    </mc:Choice>
  </mc:AlternateContent>
  <bookViews>
    <workbookView xWindow="0" yWindow="0" windowWidth="23040" windowHeight="9192" tabRatio="913" firstSheet="10" activeTab="19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REPEAT" sheetId="22" r:id="rId18"/>
    <sheet name="SUBSTITUTE" sheetId="21" r:id="rId19"/>
    <sheet name="PMT,IPMT,PPMT,PV,FV" sheetId="20" r:id="rId20"/>
  </sheets>
  <definedNames>
    <definedName name="LIST1">VLOOKUP!$A:$E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0" l="1"/>
  <c r="L7" i="20"/>
  <c r="H12" i="20"/>
  <c r="I12" i="20"/>
  <c r="I3" i="20"/>
  <c r="I4" i="20"/>
  <c r="I5" i="20"/>
  <c r="I6" i="20"/>
  <c r="I7" i="20"/>
  <c r="I8" i="20"/>
  <c r="I9" i="20"/>
  <c r="I10" i="20"/>
  <c r="I11" i="20"/>
  <c r="I2" i="20"/>
  <c r="H3" i="20"/>
  <c r="H4" i="20"/>
  <c r="H5" i="20"/>
  <c r="H6" i="20"/>
  <c r="H7" i="20"/>
  <c r="H8" i="20"/>
  <c r="H9" i="20"/>
  <c r="H10" i="20"/>
  <c r="H11" i="20"/>
  <c r="H2" i="20"/>
  <c r="G12" i="20"/>
  <c r="G5" i="20"/>
  <c r="G6" i="20"/>
  <c r="G7" i="20"/>
  <c r="G8" i="20"/>
  <c r="G9" i="20"/>
  <c r="G10" i="20"/>
  <c r="G11" i="20"/>
  <c r="G4" i="20"/>
  <c r="G3" i="20"/>
  <c r="G2" i="20"/>
  <c r="C7" i="20"/>
  <c r="C8" i="20" s="1"/>
  <c r="C9" i="20" s="1"/>
  <c r="B6" i="21"/>
  <c r="B5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D2" i="15"/>
  <c r="D3" i="15"/>
  <c r="D4" i="15"/>
  <c r="D5" i="15"/>
  <c r="D6" i="15"/>
  <c r="D7" i="15"/>
  <c r="D8" i="15"/>
  <c r="D9" i="15"/>
  <c r="D10" i="15"/>
  <c r="D11" i="15"/>
  <c r="D12" i="15"/>
  <c r="D13" i="15"/>
  <c r="H2" i="14"/>
  <c r="E14" i="14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F2" i="13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H3" i="7"/>
  <c r="H2" i="7"/>
  <c r="H4" i="7"/>
  <c r="G3" i="7"/>
  <c r="G4" i="7"/>
  <c r="G2" i="7"/>
  <c r="F9" i="5"/>
  <c r="G9" i="5"/>
  <c r="E9" i="5"/>
  <c r="D9" i="5"/>
  <c r="E11" i="5"/>
  <c r="F11" i="5"/>
  <c r="G11" i="5"/>
  <c r="D11" i="5"/>
  <c r="H3" i="4"/>
  <c r="H4" i="4"/>
  <c r="H5" i="4"/>
  <c r="H2" i="4"/>
  <c r="L2" i="3"/>
  <c r="G5" i="2"/>
  <c r="G6" i="2"/>
  <c r="H3" i="2"/>
  <c r="E2" i="1" a="1"/>
  <c r="E2" i="1" s="1"/>
  <c r="E9" i="1" l="1"/>
  <c r="E7" i="1"/>
  <c r="E6" i="1"/>
  <c r="E4" i="1"/>
  <c r="E8" i="1"/>
  <c r="E5" i="1"/>
  <c r="E3" i="1"/>
  <c r="E10" i="1"/>
  <c r="B3" i="21"/>
  <c r="B4" i="21"/>
  <c r="Q6" i="20" l="1"/>
  <c r="D16" i="20" l="1"/>
  <c r="E16" i="20" l="1"/>
  <c r="D17" i="20"/>
  <c r="E17" i="20" s="1"/>
</calcChain>
</file>

<file path=xl/sharedStrings.xml><?xml version="1.0" encoding="utf-8"?>
<sst xmlns="http://schemas.openxmlformats.org/spreadsheetml/2006/main" count="735" uniqueCount="213">
  <si>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</si>
  <si>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</si>
  <si>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</si>
  <si>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</si>
  <si>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</si>
  <si>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</si>
  <si>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</si>
  <si>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</si>
  <si>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</si>
  <si>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</si>
  <si>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</si>
  <si>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</si>
  <si>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</si>
  <si>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</si>
  <si>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</si>
  <si>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</si>
  <si>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</si>
  <si>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</si>
  <si>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</si>
  <si>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</si>
  <si>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</si>
  <si>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</si>
  <si>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</si>
  <si>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</si>
  <si>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</si>
  <si>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</si>
  <si>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</si>
  <si>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</si>
  <si>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</si>
  <si>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</si>
  <si>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</si>
  <si>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</si>
  <si>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</si>
  <si>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</si>
  <si>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</si>
  <si>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</si>
  <si>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</si>
  <si>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</si>
  <si>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</si>
  <si>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</si>
  <si>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</si>
  <si>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</si>
  <si>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</si>
  <si>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</si>
  <si>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</si>
  <si>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</si>
  <si>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</si>
  <si>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</si>
  <si>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</si>
  <si>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</si>
  <si>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</si>
  <si>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</si>
  <si>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</si>
  <si>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</si>
  <si>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</si>
  <si>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</si>
  <si>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</si>
  <si>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</si>
  <si>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</si>
  <si>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</si>
  <si>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</si>
  <si>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</si>
  <si>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</si>
  <si>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</si>
  <si>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</si>
  <si>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</si>
  <si>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</si>
  <si>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</si>
  <si>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</si>
  <si>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</si>
  <si>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</si>
  <si>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</si>
  <si>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</si>
  <si>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</si>
  <si>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</si>
  <si>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</si>
  <si>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</si>
  <si>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</si>
  <si>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</si>
  <si>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</si>
  <si>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</si>
  <si>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</si>
  <si>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</si>
  <si>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</si>
  <si>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</si>
  <si>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</si>
  <si>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</si>
  <si>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</si>
  <si>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</si>
  <si>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</si>
  <si>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</si>
  <si>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</si>
  <si>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</si>
  <si>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</si>
  <si>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</si>
  <si>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</si>
  <si>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</si>
  <si>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</si>
  <si>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</si>
  <si>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</si>
  <si>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</si>
  <si>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</si>
  <si>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</si>
  <si>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</si>
  <si>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</si>
  <si>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</si>
  <si>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</si>
  <si>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</si>
  <si>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</si>
  <si>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</si>
  <si>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</si>
  <si>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</si>
  <si>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</si>
  <si>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</si>
  <si>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</si>
  <si>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</si>
  <si>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</si>
  <si>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</si>
  <si>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</si>
  <si>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</si>
  <si>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</si>
  <si>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</si>
  <si>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</si>
  <si>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</si>
  <si>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</si>
  <si>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</si>
  <si>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</si>
  <si>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</si>
  <si>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</si>
  <si>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</si>
  <si>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</si>
  <si>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</si>
  <si>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</si>
  <si>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</si>
  <si>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</si>
  <si>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</si>
  <si>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</si>
  <si>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</si>
  <si>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</si>
  <si>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</si>
  <si>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</si>
  <si>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</si>
  <si>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</si>
  <si>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</si>
  <si>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</si>
  <si>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</si>
  <si>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</si>
  <si>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</si>
  <si>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</si>
  <si>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</si>
  <si>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</si>
  <si>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</si>
  <si>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</si>
  <si>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</si>
  <si>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</si>
  <si>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</si>
  <si>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</si>
  <si>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</si>
  <si>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</si>
  <si>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</si>
  <si>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</si>
  <si>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</si>
  <si>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</si>
  <si>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</si>
  <si>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</si>
  <si>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</si>
  <si>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</si>
  <si>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</si>
  <si>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</si>
  <si>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</si>
  <si>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</si>
  <si>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</si>
  <si>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</si>
  <si>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</si>
  <si>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</si>
  <si>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</si>
  <si>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</si>
  <si>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</si>
  <si>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</si>
  <si>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</si>
  <si>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</si>
  <si>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</si>
  <si>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</si>
  <si>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</si>
  <si>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</si>
  <si>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</si>
  <si>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</si>
  <si>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</si>
  <si>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</si>
  <si>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</si>
  <si>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</si>
  <si>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</si>
  <si>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</si>
  <si>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</si>
  <si>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</si>
  <si>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</si>
  <si>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</si>
  <si>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frequency</t>
  </si>
  <si>
    <t>col num</t>
  </si>
  <si>
    <t>row no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</si>
  <si>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</si>
  <si>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</si>
  <si>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</si>
  <si>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</si>
  <si>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</si>
  <si>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</si>
  <si>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</si>
  <si>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</si>
  <si>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OR</t>
  </si>
  <si>
    <t>LEFT</t>
  </si>
  <si>
    <t>RIGHT</t>
  </si>
  <si>
    <t>MID</t>
  </si>
  <si>
    <t>Ahmedabad -400092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</si>
</sst>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[$-F400]h\.mm\.ss\ AM/PM"/>
    <numFmt numFmtId="165" formatCode="_(* #,##0.00_);_(* \(#,##0.00\);_(* &quot;-&quot;??_);_(@_)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18" fontId="0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Font="1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43" fontId="8" fillId="0" borderId="1" xfId="1" applyNumberFormat="1" applyFont="1" applyBorder="1"/>
    <xf numFmtId="43" fontId="8" fillId="0" borderId="1" xfId="1" applyFont="1" applyBorder="1"/>
    <xf numFmtId="0" fontId="7" fillId="3" borderId="1" xfId="0" applyFont="1" applyFill="1" applyBorder="1"/>
    <xf numFmtId="43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Font="1" applyBorder="1"/>
    <xf numFmtId="2" fontId="0" fillId="0" borderId="0" xfId="0" applyNumberFormat="1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8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9" xfId="0" applyBorder="1"/>
    <xf numFmtId="2" fontId="9" fillId="0" borderId="1" xfId="0" applyNumberFormat="1" applyFont="1" applyBorder="1"/>
    <xf numFmtId="167" fontId="0" fillId="0" borderId="0" xfId="0" applyNumberFormat="1" applyBorder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2" borderId="10" xfId="0" applyFont="1" applyFill="1" applyBorder="1"/>
    <xf numFmtId="0" fontId="0" fillId="0" borderId="10" xfId="0" applyFont="1" applyFill="1" applyBorder="1"/>
    <xf numFmtId="0" fontId="0" fillId="6" borderId="10" xfId="0" applyFill="1" applyBorder="1"/>
    <xf numFmtId="0" fontId="0" fillId="6" borderId="0" xfId="0" applyFill="1" applyBorder="1"/>
    <xf numFmtId="0" fontId="0" fillId="6" borderId="2" xfId="0" applyFill="1" applyBorder="1"/>
  </cellXfs>
  <cellStyles count="4">
    <cellStyle name="Comma" xfId="1" builtinId="3"/>
    <cellStyle name="Comma 2" xfId="3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/>
        <xdr:cNvGrpSpPr/>
      </xdr:nvGrpSpPr>
      <xdr:grpSpPr>
        <a:xfrm>
          <a:off x="1813891" y="688210"/>
          <a:ext cx="5323008" cy="1802596"/>
          <a:chOff x="1794184" y="723444"/>
          <a:chExt cx="5151498" cy="1911283"/>
        </a:xfrm>
      </xdr:grpSpPr>
      <xdr:cxnSp macro="">
        <xdr:nvCxnSpPr>
          <xdr:cNvPr id="3" name="Straight Arrow Connector 2"/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/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/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/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200" zoomScaleNormal="200" workbookViewId="0">
      <selection activeCell="E2" sqref="E2:E10"/>
    </sheetView>
  </sheetViews>
  <sheetFormatPr defaultRowHeight="14.4" x14ac:dyDescent="0.3"/>
  <cols>
    <col min="1" max="1" width="8.88671875" style="4"/>
    <col min="2" max="2" width="15.88671875" style="4" customWidth="1"/>
    <col min="3" max="4" width="10.44140625" style="4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196</v>
      </c>
      <c r="E1" s="64" t="s">
        <v>197</v>
      </c>
    </row>
    <row r="2" spans="1:5" x14ac:dyDescent="0.3">
      <c r="A2" s="2">
        <v>1</v>
      </c>
      <c r="B2" s="2" t="s">
        <v>3</v>
      </c>
      <c r="C2" s="2">
        <v>29</v>
      </c>
      <c r="D2" s="2">
        <v>29</v>
      </c>
      <c r="E2">
        <f t="array" ref="E2:E10">FREQUENCY(C2:C21,D2:D10)</f>
        <v>3</v>
      </c>
    </row>
    <row r="3" spans="1:5" x14ac:dyDescent="0.3">
      <c r="A3" s="2">
        <v>2</v>
      </c>
      <c r="B3" s="2" t="s">
        <v>4</v>
      </c>
      <c r="C3" s="2">
        <v>20</v>
      </c>
      <c r="D3" s="2">
        <v>20</v>
      </c>
      <c r="E3">
        <v>4</v>
      </c>
    </row>
    <row r="4" spans="1:5" x14ac:dyDescent="0.3">
      <c r="A4" s="2">
        <v>3</v>
      </c>
      <c r="B4" s="2" t="s">
        <v>5</v>
      </c>
      <c r="C4" s="2">
        <v>33</v>
      </c>
      <c r="D4" s="2">
        <v>33</v>
      </c>
      <c r="E4">
        <v>2</v>
      </c>
    </row>
    <row r="5" spans="1:5" x14ac:dyDescent="0.3">
      <c r="A5" s="2">
        <v>4</v>
      </c>
      <c r="B5" s="2" t="s">
        <v>6</v>
      </c>
      <c r="C5" s="2">
        <v>20</v>
      </c>
      <c r="D5" s="2">
        <v>21</v>
      </c>
      <c r="E5">
        <v>2</v>
      </c>
    </row>
    <row r="6" spans="1:5" x14ac:dyDescent="0.3">
      <c r="A6" s="2">
        <v>5</v>
      </c>
      <c r="B6" s="2" t="s">
        <v>7</v>
      </c>
      <c r="C6" s="2">
        <v>29</v>
      </c>
      <c r="D6" s="2">
        <v>34</v>
      </c>
      <c r="E6">
        <v>1</v>
      </c>
    </row>
    <row r="7" spans="1:5" x14ac:dyDescent="0.3">
      <c r="A7" s="2">
        <v>6</v>
      </c>
      <c r="B7" s="2" t="s">
        <v>8</v>
      </c>
      <c r="C7" s="2">
        <v>33</v>
      </c>
      <c r="D7" s="2">
        <v>28</v>
      </c>
      <c r="E7">
        <v>2</v>
      </c>
    </row>
    <row r="8" spans="1:5" x14ac:dyDescent="0.3">
      <c r="A8" s="2">
        <v>7</v>
      </c>
      <c r="B8" s="2" t="s">
        <v>9</v>
      </c>
      <c r="C8" s="2">
        <v>21</v>
      </c>
      <c r="D8" s="2">
        <v>27</v>
      </c>
      <c r="E8">
        <v>3</v>
      </c>
    </row>
    <row r="9" spans="1:5" x14ac:dyDescent="0.3">
      <c r="A9" s="2">
        <v>8</v>
      </c>
      <c r="B9" s="2" t="s">
        <v>12</v>
      </c>
      <c r="C9" s="2">
        <v>29</v>
      </c>
      <c r="D9" s="2">
        <v>22</v>
      </c>
      <c r="E9">
        <v>1</v>
      </c>
    </row>
    <row r="10" spans="1:5" x14ac:dyDescent="0.3">
      <c r="A10" s="2">
        <v>9</v>
      </c>
      <c r="B10" s="2" t="s">
        <v>10</v>
      </c>
      <c r="C10" s="2">
        <v>34</v>
      </c>
      <c r="D10" s="2">
        <v>23</v>
      </c>
      <c r="E10">
        <v>2</v>
      </c>
    </row>
    <row r="11" spans="1:5" x14ac:dyDescent="0.3">
      <c r="A11" s="2">
        <v>10</v>
      </c>
      <c r="B11" s="2" t="s">
        <v>13</v>
      </c>
      <c r="C11" s="2">
        <v>28</v>
      </c>
      <c r="D11"/>
    </row>
    <row r="12" spans="1:5" x14ac:dyDescent="0.3">
      <c r="A12" s="2">
        <v>11</v>
      </c>
      <c r="B12" s="2" t="s">
        <v>14</v>
      </c>
      <c r="C12" s="2">
        <v>20</v>
      </c>
      <c r="D12"/>
    </row>
    <row r="13" spans="1:5" x14ac:dyDescent="0.3">
      <c r="A13" s="2">
        <v>12</v>
      </c>
      <c r="B13" s="2" t="s">
        <v>15</v>
      </c>
      <c r="C13" s="2">
        <v>27</v>
      </c>
      <c r="D13"/>
    </row>
    <row r="14" spans="1:5" x14ac:dyDescent="0.3">
      <c r="A14" s="2">
        <v>13</v>
      </c>
      <c r="B14" s="2" t="s">
        <v>16</v>
      </c>
      <c r="C14" s="2">
        <v>21</v>
      </c>
      <c r="D14"/>
    </row>
    <row r="15" spans="1:5" x14ac:dyDescent="0.3">
      <c r="A15" s="2">
        <v>14</v>
      </c>
      <c r="B15" s="2" t="s">
        <v>17</v>
      </c>
      <c r="C15" s="2">
        <v>28</v>
      </c>
      <c r="D15"/>
    </row>
    <row r="16" spans="1:5" x14ac:dyDescent="0.3">
      <c r="A16" s="2">
        <v>15</v>
      </c>
      <c r="B16" s="2" t="s">
        <v>18</v>
      </c>
      <c r="C16" s="2">
        <v>27</v>
      </c>
      <c r="D16"/>
    </row>
    <row r="17" spans="1:4" x14ac:dyDescent="0.3">
      <c r="A17" s="2">
        <v>16</v>
      </c>
      <c r="B17" s="2" t="s">
        <v>19</v>
      </c>
      <c r="C17" s="2">
        <v>20</v>
      </c>
      <c r="D17"/>
    </row>
    <row r="18" spans="1:4" x14ac:dyDescent="0.3">
      <c r="A18" s="2">
        <v>17</v>
      </c>
      <c r="B18" s="2" t="s">
        <v>21</v>
      </c>
      <c r="C18" s="2">
        <v>22</v>
      </c>
      <c r="D18"/>
    </row>
    <row r="19" spans="1:4" x14ac:dyDescent="0.3">
      <c r="A19" s="2">
        <v>18</v>
      </c>
      <c r="B19" s="2" t="s">
        <v>20</v>
      </c>
      <c r="C19" s="2">
        <v>23</v>
      </c>
      <c r="D19"/>
    </row>
    <row r="20" spans="1:4" x14ac:dyDescent="0.3">
      <c r="A20" s="2">
        <v>19</v>
      </c>
      <c r="B20" s="2" t="s">
        <v>22</v>
      </c>
      <c r="C20" s="2">
        <v>27</v>
      </c>
      <c r="D20"/>
    </row>
    <row r="21" spans="1:4" x14ac:dyDescent="0.3">
      <c r="A21" s="2">
        <v>20</v>
      </c>
      <c r="B21" s="2" t="s">
        <v>11</v>
      </c>
      <c r="C21" s="2">
        <v>23</v>
      </c>
      <c r="D2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200" zoomScaleNormal="200" workbookViewId="0">
      <selection activeCell="G5" sqref="G5"/>
    </sheetView>
  </sheetViews>
  <sheetFormatPr defaultRowHeight="14.4" x14ac:dyDescent="0.3"/>
  <cols>
    <col min="1" max="1" width="14.5546875" customWidth="1"/>
    <col min="3" max="3" width="11.33203125" customWidth="1"/>
    <col min="4" max="4" width="9.88671875" customWidth="1"/>
    <col min="5" max="5" width="10.21875" customWidth="1"/>
    <col min="7" max="7" width="11.88671875" customWidth="1"/>
    <col min="8" max="8" width="10.88671875" customWidth="1"/>
  </cols>
  <sheetData>
    <row r="1" spans="1:8" x14ac:dyDescent="0.3">
      <c r="A1" s="51" t="s">
        <v>35</v>
      </c>
      <c r="B1" s="51"/>
      <c r="C1" s="51"/>
      <c r="D1" s="51"/>
      <c r="E1" s="51"/>
      <c r="G1" s="50" t="s">
        <v>34</v>
      </c>
      <c r="H1" s="50"/>
    </row>
    <row r="2" spans="1:8" x14ac:dyDescent="0.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G2" s="3" t="s">
        <v>33</v>
      </c>
      <c r="H2" s="1" t="s">
        <v>25</v>
      </c>
    </row>
    <row r="3" spans="1:8" x14ac:dyDescent="0.3">
      <c r="A3" s="5">
        <v>0.29166666666666669</v>
      </c>
      <c r="B3" s="2" t="s">
        <v>28</v>
      </c>
      <c r="C3" s="2" t="s">
        <v>29</v>
      </c>
      <c r="D3" s="2" t="s">
        <v>30</v>
      </c>
      <c r="E3" s="2" t="s">
        <v>31</v>
      </c>
      <c r="G3" s="6">
        <v>0.29166666666666669</v>
      </c>
      <c r="H3" s="1" t="str">
        <f>INDEX(A2:E9,MATCH(G3,A2:A9,0),MATCH(H2,A2:E2,0))</f>
        <v>Excel</v>
      </c>
    </row>
    <row r="4" spans="1:8" x14ac:dyDescent="0.3">
      <c r="A4" s="5">
        <v>0.33333333333333298</v>
      </c>
      <c r="B4" s="2" t="s">
        <v>29</v>
      </c>
      <c r="C4" s="2" t="s">
        <v>32</v>
      </c>
      <c r="D4" s="2" t="s">
        <v>29</v>
      </c>
      <c r="E4" s="2" t="s">
        <v>30</v>
      </c>
    </row>
    <row r="5" spans="1:8" x14ac:dyDescent="0.3">
      <c r="A5" s="5">
        <v>0.375</v>
      </c>
      <c r="B5" s="2" t="s">
        <v>31</v>
      </c>
      <c r="C5" s="2" t="s">
        <v>30</v>
      </c>
      <c r="D5" s="2" t="s">
        <v>30</v>
      </c>
      <c r="E5" s="2" t="s">
        <v>29</v>
      </c>
      <c r="F5" s="65" t="s">
        <v>199</v>
      </c>
      <c r="G5">
        <f>MATCH(G3,A2:A9,0)</f>
        <v>2</v>
      </c>
    </row>
    <row r="6" spans="1:8" x14ac:dyDescent="0.3">
      <c r="A6" s="5">
        <v>0.41666666666666702</v>
      </c>
      <c r="B6" s="2" t="s">
        <v>30</v>
      </c>
      <c r="C6" s="2" t="s">
        <v>28</v>
      </c>
      <c r="D6" s="2" t="s">
        <v>31</v>
      </c>
      <c r="E6" s="2" t="s">
        <v>28</v>
      </c>
      <c r="F6" s="65" t="s">
        <v>198</v>
      </c>
      <c r="G6">
        <f>MATCH(H2,A2:E2,0)</f>
        <v>3</v>
      </c>
    </row>
    <row r="7" spans="1:8" x14ac:dyDescent="0.3">
      <c r="A7" s="5">
        <v>0.45833333333333298</v>
      </c>
      <c r="B7" s="2" t="s">
        <v>28</v>
      </c>
      <c r="C7" s="2" t="s">
        <v>29</v>
      </c>
      <c r="D7" s="2" t="s">
        <v>28</v>
      </c>
      <c r="E7" s="2" t="s">
        <v>29</v>
      </c>
    </row>
    <row r="8" spans="1:8" x14ac:dyDescent="0.3">
      <c r="A8" s="5">
        <v>0.5</v>
      </c>
      <c r="B8" s="2" t="s">
        <v>29</v>
      </c>
      <c r="C8" s="2" t="s">
        <v>30</v>
      </c>
      <c r="D8" s="2" t="s">
        <v>29</v>
      </c>
      <c r="E8" s="2" t="s">
        <v>28</v>
      </c>
    </row>
    <row r="9" spans="1:8" x14ac:dyDescent="0.3">
      <c r="A9" s="5">
        <v>0.54166666666666696</v>
      </c>
      <c r="B9" s="2" t="s">
        <v>31</v>
      </c>
      <c r="C9" s="2" t="s">
        <v>32</v>
      </c>
      <c r="D9" s="2" t="s">
        <v>30</v>
      </c>
      <c r="E9" s="2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">
      <formula1>$A$3:$A$9</formula1>
    </dataValidation>
    <dataValidation type="list" allowBlank="1" showInputMessage="1" showErrorMessage="1" sqref="H2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C1" zoomScale="150" zoomScaleNormal="150" workbookViewId="0">
      <selection activeCell="L2" sqref="L2"/>
    </sheetView>
  </sheetViews>
  <sheetFormatPr defaultRowHeight="14.4" x14ac:dyDescent="0.3"/>
  <cols>
    <col min="1" max="1" width="7.88671875" bestFit="1" customWidth="1"/>
    <col min="2" max="2" width="27.6640625" bestFit="1" customWidth="1"/>
    <col min="3" max="3" width="11.21875" style="11" bestFit="1" customWidth="1"/>
    <col min="4" max="4" width="9.6640625" style="9" bestFit="1" customWidth="1"/>
    <col min="5" max="5" width="15.77734375" style="11" bestFit="1" customWidth="1"/>
    <col min="6" max="6" width="12.5546875" style="11" bestFit="1" customWidth="1"/>
    <col min="7" max="7" width="5.44140625" style="11" customWidth="1"/>
    <col min="8" max="8" width="4.77734375" style="11" customWidth="1"/>
    <col min="9" max="9" width="9.88671875" style="11" bestFit="1" customWidth="1"/>
    <col min="11" max="11" width="17.77734375" bestFit="1" customWidth="1"/>
    <col min="12" max="12" width="11.5546875" customWidth="1"/>
  </cols>
  <sheetData>
    <row r="1" spans="1:12" ht="18" x14ac:dyDescent="0.35">
      <c r="A1" s="12" t="s">
        <v>36</v>
      </c>
      <c r="B1" s="12" t="s">
        <v>37</v>
      </c>
      <c r="C1" s="12" t="s">
        <v>38</v>
      </c>
      <c r="D1" s="13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K1" s="14" t="s">
        <v>65</v>
      </c>
      <c r="L1" s="12" t="s">
        <v>200</v>
      </c>
    </row>
    <row r="2" spans="1:12" ht="18" x14ac:dyDescent="0.35">
      <c r="A2" s="7">
        <v>1</v>
      </c>
      <c r="B2" s="7" t="s">
        <v>45</v>
      </c>
      <c r="C2" s="10">
        <v>26</v>
      </c>
      <c r="D2" s="8">
        <v>2370</v>
      </c>
      <c r="E2" s="10">
        <v>2290</v>
      </c>
      <c r="F2" s="10">
        <v>7150</v>
      </c>
      <c r="G2" s="10">
        <v>559</v>
      </c>
      <c r="H2" s="10">
        <v>72</v>
      </c>
      <c r="I2" s="10">
        <v>6519</v>
      </c>
      <c r="K2" s="7" t="s">
        <v>51</v>
      </c>
      <c r="L2">
        <f>LOOKUP(K2,B1:B21,A1:A21)</f>
        <v>7</v>
      </c>
    </row>
    <row r="3" spans="1:12" ht="18" x14ac:dyDescent="0.35">
      <c r="A3" s="7">
        <v>2</v>
      </c>
      <c r="B3" s="7" t="s">
        <v>46</v>
      </c>
      <c r="C3" s="10">
        <v>15</v>
      </c>
      <c r="D3" s="8">
        <v>1315.3846153846155</v>
      </c>
      <c r="E3" s="10">
        <v>1275</v>
      </c>
      <c r="F3" s="10">
        <v>3975</v>
      </c>
      <c r="G3" s="10">
        <v>311</v>
      </c>
      <c r="H3" s="10">
        <v>40</v>
      </c>
      <c r="I3" s="10">
        <v>3624</v>
      </c>
    </row>
    <row r="4" spans="1:12" ht="18" x14ac:dyDescent="0.35">
      <c r="A4" s="7">
        <v>3</v>
      </c>
      <c r="B4" s="7" t="s">
        <v>47</v>
      </c>
      <c r="C4" s="10">
        <v>26</v>
      </c>
      <c r="D4" s="8">
        <v>2370</v>
      </c>
      <c r="E4" s="10">
        <v>2290</v>
      </c>
      <c r="F4" s="10">
        <v>7150</v>
      </c>
      <c r="G4" s="10">
        <v>559</v>
      </c>
      <c r="H4" s="10">
        <v>72</v>
      </c>
      <c r="I4" s="10">
        <v>6519</v>
      </c>
    </row>
    <row r="5" spans="1:12" ht="18" x14ac:dyDescent="0.35">
      <c r="A5" s="7">
        <v>4</v>
      </c>
      <c r="B5" s="7" t="s">
        <v>48</v>
      </c>
      <c r="C5" s="10">
        <v>26</v>
      </c>
      <c r="D5" s="8">
        <v>2370</v>
      </c>
      <c r="E5" s="10">
        <v>2290</v>
      </c>
      <c r="F5" s="10">
        <v>7150</v>
      </c>
      <c r="G5" s="10">
        <v>559</v>
      </c>
      <c r="H5" s="10">
        <v>72</v>
      </c>
      <c r="I5" s="10">
        <v>6519</v>
      </c>
    </row>
    <row r="6" spans="1:12" ht="18" x14ac:dyDescent="0.35">
      <c r="A6" s="7">
        <v>5</v>
      </c>
      <c r="B6" s="7" t="s">
        <v>49</v>
      </c>
      <c r="C6" s="10">
        <v>3</v>
      </c>
      <c r="D6" s="8">
        <v>273.46153846153845</v>
      </c>
      <c r="E6" s="10">
        <v>264.23076923076923</v>
      </c>
      <c r="F6" s="10">
        <v>825</v>
      </c>
      <c r="G6" s="10">
        <v>65</v>
      </c>
      <c r="H6" s="10">
        <v>8</v>
      </c>
      <c r="I6" s="10">
        <v>752</v>
      </c>
    </row>
    <row r="7" spans="1:12" ht="18" x14ac:dyDescent="0.35">
      <c r="A7" s="7">
        <v>6</v>
      </c>
      <c r="B7" s="7" t="s">
        <v>50</v>
      </c>
      <c r="C7" s="10">
        <v>2</v>
      </c>
      <c r="D7" s="8">
        <v>182.30769230769232</v>
      </c>
      <c r="E7" s="10">
        <v>176.15384615384616</v>
      </c>
      <c r="F7" s="10">
        <v>550</v>
      </c>
      <c r="G7" s="10">
        <v>43</v>
      </c>
      <c r="H7" s="10">
        <v>6</v>
      </c>
      <c r="I7" s="10">
        <v>501</v>
      </c>
    </row>
    <row r="8" spans="1:12" ht="18" x14ac:dyDescent="0.35">
      <c r="A8" s="7">
        <v>7</v>
      </c>
      <c r="B8" s="7" t="s">
        <v>51</v>
      </c>
      <c r="C8" s="10">
        <v>22</v>
      </c>
      <c r="D8" s="8">
        <v>2005.3846153846155</v>
      </c>
      <c r="E8" s="10">
        <v>1937.6923076923078</v>
      </c>
      <c r="F8" s="10">
        <v>6050</v>
      </c>
      <c r="G8" s="10">
        <v>473</v>
      </c>
      <c r="H8" s="10">
        <v>61</v>
      </c>
      <c r="I8" s="10">
        <v>5516</v>
      </c>
    </row>
    <row r="9" spans="1:12" ht="18" x14ac:dyDescent="0.35">
      <c r="A9" s="7">
        <v>8</v>
      </c>
      <c r="B9" s="7" t="s">
        <v>52</v>
      </c>
      <c r="C9" s="10">
        <v>22</v>
      </c>
      <c r="D9" s="8">
        <v>2005.3846153846155</v>
      </c>
      <c r="E9" s="10">
        <v>1937.6923076923078</v>
      </c>
      <c r="F9" s="10">
        <v>6050</v>
      </c>
      <c r="G9" s="10">
        <v>473</v>
      </c>
      <c r="H9" s="10">
        <v>61</v>
      </c>
      <c r="I9" s="10">
        <v>5516</v>
      </c>
    </row>
    <row r="10" spans="1:12" ht="18" x14ac:dyDescent="0.35">
      <c r="A10" s="7">
        <v>9</v>
      </c>
      <c r="B10" s="7" t="s">
        <v>53</v>
      </c>
      <c r="C10" s="10">
        <v>26</v>
      </c>
      <c r="D10" s="8">
        <v>2370</v>
      </c>
      <c r="E10" s="10">
        <v>2290</v>
      </c>
      <c r="F10" s="10">
        <v>7150</v>
      </c>
      <c r="G10" s="10">
        <v>559</v>
      </c>
      <c r="H10" s="10">
        <v>72</v>
      </c>
      <c r="I10" s="10">
        <v>6519</v>
      </c>
    </row>
    <row r="11" spans="1:12" ht="18" x14ac:dyDescent="0.35">
      <c r="A11" s="7">
        <v>10</v>
      </c>
      <c r="B11" s="7" t="s">
        <v>54</v>
      </c>
      <c r="C11" s="10">
        <v>26</v>
      </c>
      <c r="D11" s="8">
        <v>2370</v>
      </c>
      <c r="E11" s="10">
        <v>2290</v>
      </c>
      <c r="F11" s="10">
        <v>7150</v>
      </c>
      <c r="G11" s="10">
        <v>559</v>
      </c>
      <c r="H11" s="10">
        <v>72</v>
      </c>
      <c r="I11" s="10">
        <v>6519</v>
      </c>
    </row>
    <row r="12" spans="1:12" ht="18" x14ac:dyDescent="0.35">
      <c r="A12" s="7">
        <v>11</v>
      </c>
      <c r="B12" s="7" t="s">
        <v>55</v>
      </c>
      <c r="C12" s="10">
        <v>26</v>
      </c>
      <c r="D12" s="8">
        <v>2370</v>
      </c>
      <c r="E12" s="10">
        <v>2290</v>
      </c>
      <c r="F12" s="10">
        <v>7150</v>
      </c>
      <c r="G12" s="10">
        <v>559</v>
      </c>
      <c r="H12" s="10">
        <v>72</v>
      </c>
      <c r="I12" s="10">
        <v>6519</v>
      </c>
    </row>
    <row r="13" spans="1:12" ht="18" x14ac:dyDescent="0.35">
      <c r="A13" s="7">
        <v>12</v>
      </c>
      <c r="B13" s="7" t="s">
        <v>56</v>
      </c>
      <c r="C13" s="10">
        <v>24</v>
      </c>
      <c r="D13" s="8">
        <v>2104.6153846153848</v>
      </c>
      <c r="E13" s="10">
        <v>2040</v>
      </c>
      <c r="F13" s="10">
        <v>6360</v>
      </c>
      <c r="G13" s="10">
        <v>497</v>
      </c>
      <c r="H13" s="10">
        <v>64</v>
      </c>
      <c r="I13" s="10">
        <v>5799</v>
      </c>
    </row>
    <row r="14" spans="1:12" ht="18" x14ac:dyDescent="0.35">
      <c r="A14" s="7">
        <v>13</v>
      </c>
      <c r="B14" s="7" t="s">
        <v>57</v>
      </c>
      <c r="C14" s="10">
        <v>26</v>
      </c>
      <c r="D14" s="8">
        <v>2370</v>
      </c>
      <c r="E14" s="10">
        <v>2290</v>
      </c>
      <c r="F14" s="10">
        <v>7150</v>
      </c>
      <c r="G14" s="10">
        <v>559</v>
      </c>
      <c r="H14" s="10">
        <v>72</v>
      </c>
      <c r="I14" s="10">
        <v>6519</v>
      </c>
    </row>
    <row r="15" spans="1:12" ht="18" x14ac:dyDescent="0.35">
      <c r="A15" s="7">
        <v>14</v>
      </c>
      <c r="B15" s="7" t="s">
        <v>58</v>
      </c>
      <c r="C15" s="10">
        <v>25</v>
      </c>
      <c r="D15" s="8">
        <v>2278.8461538461538</v>
      </c>
      <c r="E15" s="10">
        <v>2201.9230769230771</v>
      </c>
      <c r="F15" s="10">
        <v>6875</v>
      </c>
      <c r="G15" s="10">
        <v>538</v>
      </c>
      <c r="H15" s="10">
        <v>69</v>
      </c>
      <c r="I15" s="10">
        <v>6268</v>
      </c>
    </row>
    <row r="16" spans="1:12" ht="18" x14ac:dyDescent="0.35">
      <c r="A16" s="7">
        <v>15</v>
      </c>
      <c r="B16" s="7" t="s">
        <v>59</v>
      </c>
      <c r="C16" s="10">
        <v>17</v>
      </c>
      <c r="D16" s="8">
        <v>1549.6153846153848</v>
      </c>
      <c r="E16" s="10">
        <v>1497.3076923076924</v>
      </c>
      <c r="F16" s="10">
        <v>4675</v>
      </c>
      <c r="G16" s="10">
        <v>366</v>
      </c>
      <c r="H16" s="10">
        <v>47</v>
      </c>
      <c r="I16" s="10">
        <v>4262</v>
      </c>
    </row>
    <row r="17" spans="1:9" ht="18" x14ac:dyDescent="0.35">
      <c r="A17" s="7">
        <v>16</v>
      </c>
      <c r="B17" s="7" t="s">
        <v>60</v>
      </c>
      <c r="C17" s="10">
        <v>17</v>
      </c>
      <c r="D17" s="8">
        <v>1549.6153846153848</v>
      </c>
      <c r="E17" s="10">
        <v>1497.3076923076924</v>
      </c>
      <c r="F17" s="10">
        <v>4675</v>
      </c>
      <c r="G17" s="10">
        <v>366</v>
      </c>
      <c r="H17" s="10">
        <v>47</v>
      </c>
      <c r="I17" s="10">
        <v>4262</v>
      </c>
    </row>
    <row r="18" spans="1:9" ht="18" x14ac:dyDescent="0.35">
      <c r="A18" s="7">
        <v>17</v>
      </c>
      <c r="B18" s="7" t="s">
        <v>61</v>
      </c>
      <c r="C18" s="10">
        <v>3</v>
      </c>
      <c r="D18" s="8">
        <v>263.07692307692309</v>
      </c>
      <c r="E18" s="10">
        <v>255</v>
      </c>
      <c r="F18" s="10">
        <v>795</v>
      </c>
      <c r="G18" s="10">
        <v>62</v>
      </c>
      <c r="H18" s="10">
        <v>8</v>
      </c>
      <c r="I18" s="10">
        <v>725</v>
      </c>
    </row>
    <row r="19" spans="1:9" ht="18" x14ac:dyDescent="0.35">
      <c r="A19" s="7">
        <v>18</v>
      </c>
      <c r="B19" s="7" t="s">
        <v>62</v>
      </c>
      <c r="C19" s="10">
        <v>19</v>
      </c>
      <c r="D19" s="8">
        <v>1731.9230769230771</v>
      </c>
      <c r="E19" s="10">
        <v>1673.4615384615386</v>
      </c>
      <c r="F19" s="10">
        <v>5225</v>
      </c>
      <c r="G19" s="10">
        <v>409</v>
      </c>
      <c r="H19" s="10">
        <v>52</v>
      </c>
      <c r="I19" s="10">
        <v>4764</v>
      </c>
    </row>
    <row r="20" spans="1:9" ht="18" x14ac:dyDescent="0.35">
      <c r="A20" s="7">
        <v>19</v>
      </c>
      <c r="B20" s="7" t="s">
        <v>63</v>
      </c>
      <c r="C20" s="10">
        <v>26</v>
      </c>
      <c r="D20" s="8">
        <v>2370</v>
      </c>
      <c r="E20" s="10">
        <v>2290</v>
      </c>
      <c r="F20" s="10">
        <v>7150</v>
      </c>
      <c r="G20" s="10">
        <v>559</v>
      </c>
      <c r="H20" s="10">
        <v>72</v>
      </c>
      <c r="I20" s="10">
        <v>6519</v>
      </c>
    </row>
    <row r="21" spans="1:9" ht="18" x14ac:dyDescent="0.35">
      <c r="A21" s="7">
        <v>20</v>
      </c>
      <c r="B21" s="7" t="s">
        <v>64</v>
      </c>
      <c r="C21" s="10">
        <v>5</v>
      </c>
      <c r="D21" s="8">
        <v>455.76923076923083</v>
      </c>
      <c r="E21" s="10">
        <v>440.38461538461542</v>
      </c>
      <c r="F21" s="10">
        <v>1375</v>
      </c>
      <c r="G21" s="10">
        <v>108</v>
      </c>
      <c r="H21" s="10">
        <v>14</v>
      </c>
      <c r="I21" s="10">
        <v>1253</v>
      </c>
    </row>
  </sheetData>
  <dataValidations count="1">
    <dataValidation type="list" allowBlank="1" showInputMessage="1" showErrorMessage="1" sqref="K2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5" zoomScale="200" zoomScaleNormal="200" workbookViewId="0">
      <selection sqref="A1:E18"/>
    </sheetView>
  </sheetViews>
  <sheetFormatPr defaultRowHeight="14.4" x14ac:dyDescent="0.3"/>
  <cols>
    <col min="1" max="1" width="11.109375" style="20" bestFit="1" customWidth="1"/>
    <col min="2" max="3" width="10.44140625" style="20" bestFit="1" customWidth="1"/>
    <col min="4" max="4" width="12.6640625" style="20" customWidth="1"/>
    <col min="5" max="5" width="9.44140625" style="20" bestFit="1" customWidth="1"/>
    <col min="7" max="7" width="10.77734375" customWidth="1"/>
    <col min="8" max="8" width="11.44140625" customWidth="1"/>
  </cols>
  <sheetData>
    <row r="1" spans="1:8" x14ac:dyDescent="0.3">
      <c r="A1" s="15" t="s">
        <v>66</v>
      </c>
      <c r="B1" s="16" t="s">
        <v>79</v>
      </c>
      <c r="C1" s="15" t="s">
        <v>67</v>
      </c>
      <c r="D1" s="15" t="s">
        <v>68</v>
      </c>
      <c r="E1" s="15" t="s">
        <v>69</v>
      </c>
      <c r="G1" s="21" t="s">
        <v>66</v>
      </c>
      <c r="H1" s="1">
        <v>5600009</v>
      </c>
    </row>
    <row r="2" spans="1:8" x14ac:dyDescent="0.3">
      <c r="A2" s="17">
        <v>5600001</v>
      </c>
      <c r="B2" s="18">
        <v>5000</v>
      </c>
      <c r="C2" s="19" t="s">
        <v>70</v>
      </c>
      <c r="D2" s="19" t="s">
        <v>71</v>
      </c>
      <c r="E2" s="19" t="s">
        <v>72</v>
      </c>
      <c r="G2" s="21" t="s">
        <v>79</v>
      </c>
      <c r="H2" s="1">
        <f>VLOOKUP($H$1,LIST1,ROW(),0)</f>
        <v>15759</v>
      </c>
    </row>
    <row r="3" spans="1:8" x14ac:dyDescent="0.3">
      <c r="A3" s="17">
        <v>5600002</v>
      </c>
      <c r="B3" s="18">
        <v>14571</v>
      </c>
      <c r="C3" s="19" t="s">
        <v>73</v>
      </c>
      <c r="D3" s="19" t="s">
        <v>71</v>
      </c>
      <c r="E3" s="19" t="s">
        <v>74</v>
      </c>
      <c r="G3" s="21" t="s">
        <v>67</v>
      </c>
      <c r="H3" s="1" t="str">
        <f>VLOOKUP($H$1,LIST1,ROW(),0)</f>
        <v>CD</v>
      </c>
    </row>
    <row r="4" spans="1:8" x14ac:dyDescent="0.3">
      <c r="A4" s="17">
        <v>5600003</v>
      </c>
      <c r="B4" s="18">
        <v>500</v>
      </c>
      <c r="C4" s="19" t="s">
        <v>75</v>
      </c>
      <c r="D4" s="19" t="s">
        <v>71</v>
      </c>
      <c r="E4" s="19" t="s">
        <v>72</v>
      </c>
      <c r="G4" s="21" t="s">
        <v>68</v>
      </c>
      <c r="H4" s="1" t="str">
        <f>VLOOKUP($H$1,LIST1,ROW(),0)</f>
        <v>Westside</v>
      </c>
    </row>
    <row r="5" spans="1:8" x14ac:dyDescent="0.3">
      <c r="A5" s="17">
        <v>5600004</v>
      </c>
      <c r="B5" s="18">
        <v>15000</v>
      </c>
      <c r="C5" s="19" t="s">
        <v>73</v>
      </c>
      <c r="D5" s="19" t="s">
        <v>71</v>
      </c>
      <c r="E5" s="19" t="s">
        <v>72</v>
      </c>
      <c r="G5" s="21" t="s">
        <v>69</v>
      </c>
      <c r="H5" s="1" t="str">
        <f>VLOOKUP($H$1,LIST1,ROW(),0)</f>
        <v>Existing</v>
      </c>
    </row>
    <row r="6" spans="1:8" x14ac:dyDescent="0.3">
      <c r="A6" s="17">
        <v>5600005</v>
      </c>
      <c r="B6" s="18">
        <v>4623</v>
      </c>
      <c r="C6" s="19" t="s">
        <v>76</v>
      </c>
      <c r="D6" s="19" t="s">
        <v>77</v>
      </c>
      <c r="E6" s="19" t="s">
        <v>72</v>
      </c>
    </row>
    <row r="7" spans="1:8" x14ac:dyDescent="0.3">
      <c r="A7" s="17">
        <v>5600006</v>
      </c>
      <c r="B7" s="18">
        <v>8721</v>
      </c>
      <c r="C7" s="19" t="s">
        <v>76</v>
      </c>
      <c r="D7" s="19" t="s">
        <v>78</v>
      </c>
      <c r="E7" s="19" t="s">
        <v>74</v>
      </c>
    </row>
    <row r="8" spans="1:8" x14ac:dyDescent="0.3">
      <c r="A8" s="17">
        <v>5600007</v>
      </c>
      <c r="B8" s="18">
        <v>15276</v>
      </c>
      <c r="C8" s="19" t="s">
        <v>76</v>
      </c>
      <c r="D8" s="19" t="s">
        <v>77</v>
      </c>
      <c r="E8" s="19" t="s">
        <v>72</v>
      </c>
    </row>
    <row r="9" spans="1:8" x14ac:dyDescent="0.3">
      <c r="A9" s="17">
        <v>5600008</v>
      </c>
      <c r="B9" s="18">
        <v>5000</v>
      </c>
      <c r="C9" s="19" t="s">
        <v>76</v>
      </c>
      <c r="D9" s="19" t="s">
        <v>78</v>
      </c>
      <c r="E9" s="19" t="s">
        <v>72</v>
      </c>
    </row>
    <row r="10" spans="1:8" x14ac:dyDescent="0.3">
      <c r="A10" s="17">
        <v>5600009</v>
      </c>
      <c r="B10" s="18">
        <v>15759</v>
      </c>
      <c r="C10" s="19" t="s">
        <v>73</v>
      </c>
      <c r="D10" s="19" t="s">
        <v>78</v>
      </c>
      <c r="E10" s="19" t="s">
        <v>72</v>
      </c>
    </row>
    <row r="11" spans="1:8" x14ac:dyDescent="0.3">
      <c r="A11" s="17">
        <v>5600010</v>
      </c>
      <c r="B11" s="18">
        <v>12000</v>
      </c>
      <c r="C11" s="19" t="s">
        <v>73</v>
      </c>
      <c r="D11" s="19" t="s">
        <v>78</v>
      </c>
      <c r="E11" s="19" t="s">
        <v>72</v>
      </c>
    </row>
    <row r="12" spans="1:8" x14ac:dyDescent="0.3">
      <c r="A12" s="17">
        <v>5600011</v>
      </c>
      <c r="B12" s="18">
        <v>7177</v>
      </c>
      <c r="C12" s="19" t="s">
        <v>76</v>
      </c>
      <c r="D12" s="19" t="s">
        <v>77</v>
      </c>
      <c r="E12" s="19" t="s">
        <v>72</v>
      </c>
    </row>
    <row r="13" spans="1:8" x14ac:dyDescent="0.3">
      <c r="A13" s="17">
        <v>5600012</v>
      </c>
      <c r="B13" s="18">
        <v>6837</v>
      </c>
      <c r="C13" s="19" t="s">
        <v>76</v>
      </c>
      <c r="D13" s="19" t="s">
        <v>78</v>
      </c>
      <c r="E13" s="19" t="s">
        <v>72</v>
      </c>
    </row>
    <row r="14" spans="1:8" x14ac:dyDescent="0.3">
      <c r="A14" s="17">
        <v>5600013</v>
      </c>
      <c r="B14" s="18">
        <v>3171</v>
      </c>
      <c r="C14" s="19" t="s">
        <v>75</v>
      </c>
      <c r="D14" s="19" t="s">
        <v>78</v>
      </c>
      <c r="E14" s="19" t="s">
        <v>72</v>
      </c>
    </row>
    <row r="15" spans="1:8" x14ac:dyDescent="0.3">
      <c r="A15" s="17">
        <v>5600014</v>
      </c>
      <c r="B15" s="18">
        <v>50000</v>
      </c>
      <c r="C15" s="19" t="s">
        <v>76</v>
      </c>
      <c r="D15" s="19" t="s">
        <v>71</v>
      </c>
      <c r="E15" s="19" t="s">
        <v>72</v>
      </c>
    </row>
    <row r="16" spans="1:8" x14ac:dyDescent="0.3">
      <c r="A16" s="17">
        <v>5600015</v>
      </c>
      <c r="B16" s="18">
        <v>4690</v>
      </c>
      <c r="C16" s="19" t="s">
        <v>75</v>
      </c>
      <c r="D16" s="19" t="s">
        <v>77</v>
      </c>
      <c r="E16" s="19" t="s">
        <v>74</v>
      </c>
    </row>
    <row r="17" spans="1:5" x14ac:dyDescent="0.3">
      <c r="A17" s="17">
        <v>5600016</v>
      </c>
      <c r="B17" s="18">
        <v>12438</v>
      </c>
      <c r="C17" s="19" t="s">
        <v>75</v>
      </c>
      <c r="D17" s="19" t="s">
        <v>71</v>
      </c>
      <c r="E17" s="19" t="s">
        <v>72</v>
      </c>
    </row>
    <row r="18" spans="1:5" x14ac:dyDescent="0.3">
      <c r="A18" s="17">
        <v>5600017</v>
      </c>
      <c r="B18" s="18">
        <v>5000</v>
      </c>
      <c r="C18" s="19" t="s">
        <v>75</v>
      </c>
      <c r="D18" s="19" t="s">
        <v>77</v>
      </c>
      <c r="E18" s="19" t="s">
        <v>72</v>
      </c>
    </row>
  </sheetData>
  <dataValidations count="1">
    <dataValidation type="list" allowBlank="1" showInputMessage="1" showErrorMessage="1" sqref="H1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zoomScale="200" zoomScaleNormal="200" workbookViewId="0">
      <selection activeCell="F8" sqref="E8:F8"/>
    </sheetView>
  </sheetViews>
  <sheetFormatPr defaultRowHeight="14.4" x14ac:dyDescent="0.3"/>
  <cols>
    <col min="1" max="1" width="10.21875" bestFit="1" customWidth="1"/>
    <col min="2" max="2" width="8.21875" bestFit="1" customWidth="1"/>
    <col min="3" max="3" width="10.21875" bestFit="1" customWidth="1"/>
    <col min="4" max="4" width="8.5546875" bestFit="1" customWidth="1"/>
    <col min="5" max="5" width="8.44140625" bestFit="1" customWidth="1"/>
    <col min="6" max="6" width="12.109375" bestFit="1" customWidth="1"/>
    <col min="7" max="7" width="8.88671875" bestFit="1" customWidth="1"/>
    <col min="8" max="8" width="12.109375" bestFit="1" customWidth="1"/>
    <col min="9" max="11" width="8.44140625" bestFit="1" customWidth="1"/>
    <col min="12" max="12" width="12.109375" bestFit="1" customWidth="1"/>
    <col min="13" max="14" width="8.44140625" bestFit="1" customWidth="1"/>
    <col min="15" max="15" width="8.21875" bestFit="1" customWidth="1"/>
    <col min="16" max="16" width="12.109375" bestFit="1" customWidth="1"/>
    <col min="17" max="17" width="8.21875" bestFit="1" customWidth="1"/>
    <col min="18" max="18" width="12.109375" bestFit="1" customWidth="1"/>
  </cols>
  <sheetData>
    <row r="1" spans="1:18" x14ac:dyDescent="0.3">
      <c r="A1" s="15" t="s">
        <v>66</v>
      </c>
      <c r="B1" s="17">
        <v>5600001</v>
      </c>
      <c r="C1" s="17">
        <v>5600002</v>
      </c>
      <c r="D1" s="17">
        <v>5600003</v>
      </c>
      <c r="E1" s="17">
        <v>5600004</v>
      </c>
      <c r="F1" s="17">
        <v>5600005</v>
      </c>
      <c r="G1" s="17">
        <v>5600006</v>
      </c>
      <c r="H1" s="17">
        <v>5600007</v>
      </c>
      <c r="I1" s="17">
        <v>5600008</v>
      </c>
      <c r="J1" s="17">
        <v>5600009</v>
      </c>
      <c r="K1" s="17">
        <v>5600010</v>
      </c>
      <c r="L1" s="17">
        <v>5600011</v>
      </c>
      <c r="M1" s="17">
        <v>5600012</v>
      </c>
      <c r="N1" s="17">
        <v>5600013</v>
      </c>
      <c r="O1" s="17">
        <v>5600014</v>
      </c>
      <c r="P1" s="17">
        <v>5600015</v>
      </c>
      <c r="Q1" s="17">
        <v>5600016</v>
      </c>
      <c r="R1" s="17">
        <v>5600017</v>
      </c>
    </row>
    <row r="2" spans="1:18" x14ac:dyDescent="0.3">
      <c r="A2" s="16" t="s">
        <v>79</v>
      </c>
      <c r="B2" s="18">
        <v>5000</v>
      </c>
      <c r="C2" s="18">
        <v>14571</v>
      </c>
      <c r="D2" s="18">
        <v>500</v>
      </c>
      <c r="E2" s="18">
        <v>15000</v>
      </c>
      <c r="F2" s="18">
        <v>4623</v>
      </c>
      <c r="G2" s="18">
        <v>8721</v>
      </c>
      <c r="H2" s="18">
        <v>15276</v>
      </c>
      <c r="I2" s="18">
        <v>5000</v>
      </c>
      <c r="J2" s="18">
        <v>15759</v>
      </c>
      <c r="K2" s="18">
        <v>12000</v>
      </c>
      <c r="L2" s="18">
        <v>7177</v>
      </c>
      <c r="M2" s="18">
        <v>6837</v>
      </c>
      <c r="N2" s="18">
        <v>3171</v>
      </c>
      <c r="O2" s="18">
        <v>50000</v>
      </c>
      <c r="P2" s="18">
        <v>4690</v>
      </c>
      <c r="Q2" s="18">
        <v>12438</v>
      </c>
      <c r="R2" s="18">
        <v>5000</v>
      </c>
    </row>
    <row r="3" spans="1:18" x14ac:dyDescent="0.3">
      <c r="A3" s="15" t="s">
        <v>67</v>
      </c>
      <c r="B3" s="19" t="s">
        <v>70</v>
      </c>
      <c r="C3" s="19" t="s">
        <v>73</v>
      </c>
      <c r="D3" s="19" t="s">
        <v>75</v>
      </c>
      <c r="E3" s="19" t="s">
        <v>73</v>
      </c>
      <c r="F3" s="19" t="s">
        <v>76</v>
      </c>
      <c r="G3" s="19" t="s">
        <v>76</v>
      </c>
      <c r="H3" s="19" t="s">
        <v>76</v>
      </c>
      <c r="I3" s="19" t="s">
        <v>76</v>
      </c>
      <c r="J3" s="19" t="s">
        <v>73</v>
      </c>
      <c r="K3" s="19" t="s">
        <v>73</v>
      </c>
      <c r="L3" s="19" t="s">
        <v>76</v>
      </c>
      <c r="M3" s="19" t="s">
        <v>76</v>
      </c>
      <c r="N3" s="19" t="s">
        <v>75</v>
      </c>
      <c r="O3" s="19" t="s">
        <v>76</v>
      </c>
      <c r="P3" s="19" t="s">
        <v>75</v>
      </c>
      <c r="Q3" s="19" t="s">
        <v>75</v>
      </c>
      <c r="R3" s="19" t="s">
        <v>75</v>
      </c>
    </row>
    <row r="4" spans="1:18" x14ac:dyDescent="0.3">
      <c r="A4" s="15" t="s">
        <v>68</v>
      </c>
      <c r="B4" s="19" t="s">
        <v>71</v>
      </c>
      <c r="C4" s="19" t="s">
        <v>71</v>
      </c>
      <c r="D4" s="19" t="s">
        <v>71</v>
      </c>
      <c r="E4" s="19" t="s">
        <v>71</v>
      </c>
      <c r="F4" s="19" t="s">
        <v>77</v>
      </c>
      <c r="G4" s="19" t="s">
        <v>78</v>
      </c>
      <c r="H4" s="19" t="s">
        <v>77</v>
      </c>
      <c r="I4" s="19" t="s">
        <v>78</v>
      </c>
      <c r="J4" s="19" t="s">
        <v>78</v>
      </c>
      <c r="K4" s="19" t="s">
        <v>78</v>
      </c>
      <c r="L4" s="19" t="s">
        <v>77</v>
      </c>
      <c r="M4" s="19" t="s">
        <v>78</v>
      </c>
      <c r="N4" s="19" t="s">
        <v>78</v>
      </c>
      <c r="O4" s="19" t="s">
        <v>71</v>
      </c>
      <c r="P4" s="19" t="s">
        <v>77</v>
      </c>
      <c r="Q4" s="19" t="s">
        <v>71</v>
      </c>
      <c r="R4" s="19" t="s">
        <v>77</v>
      </c>
    </row>
    <row r="5" spans="1:18" x14ac:dyDescent="0.3">
      <c r="A5" s="15" t="s">
        <v>69</v>
      </c>
      <c r="B5" s="19" t="s">
        <v>72</v>
      </c>
      <c r="C5" s="19" t="s">
        <v>74</v>
      </c>
      <c r="D5" s="19" t="s">
        <v>72</v>
      </c>
      <c r="E5" s="19" t="s">
        <v>72</v>
      </c>
      <c r="F5" s="19" t="s">
        <v>72</v>
      </c>
      <c r="G5" s="19" t="s">
        <v>74</v>
      </c>
      <c r="H5" s="19" t="s">
        <v>72</v>
      </c>
      <c r="I5" s="19" t="s">
        <v>72</v>
      </c>
      <c r="J5" s="19" t="s">
        <v>72</v>
      </c>
      <c r="K5" s="19" t="s">
        <v>72</v>
      </c>
      <c r="L5" s="19" t="s">
        <v>72</v>
      </c>
      <c r="M5" s="19" t="s">
        <v>72</v>
      </c>
      <c r="N5" s="19" t="s">
        <v>72</v>
      </c>
      <c r="O5" s="19" t="s">
        <v>72</v>
      </c>
      <c r="P5" s="19" t="s">
        <v>74</v>
      </c>
      <c r="Q5" s="19" t="s">
        <v>72</v>
      </c>
      <c r="R5" s="19" t="s">
        <v>72</v>
      </c>
    </row>
    <row r="8" spans="1:18" x14ac:dyDescent="0.3">
      <c r="C8" s="15" t="s">
        <v>66</v>
      </c>
      <c r="D8" s="16" t="s">
        <v>79</v>
      </c>
      <c r="E8" s="15" t="s">
        <v>67</v>
      </c>
      <c r="F8" s="15" t="s">
        <v>68</v>
      </c>
      <c r="G8" s="15" t="s">
        <v>69</v>
      </c>
    </row>
    <row r="9" spans="1:18" x14ac:dyDescent="0.3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 t="shared" ref="F9:G9" si="0">HLOOKUP($C$9,1:5,COLUMN()-2,0)</f>
        <v>Central</v>
      </c>
      <c r="G9" t="str">
        <f t="shared" si="0"/>
        <v>Existing</v>
      </c>
    </row>
    <row r="11" spans="1:18" x14ac:dyDescent="0.3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</sheetData>
  <dataValidations count="1">
    <dataValidation type="list" allowBlank="1" showInputMessage="1" showErrorMessage="1" sqref="C9">
      <formula1>$B$1:$R$1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205" zoomScaleNormal="205" workbookViewId="0">
      <selection activeCell="F3" sqref="F3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1.21875" bestFit="1" customWidth="1"/>
    <col min="5" max="5" width="17" bestFit="1" customWidth="1"/>
  </cols>
  <sheetData>
    <row r="1" spans="1:6" x14ac:dyDescent="0.3">
      <c r="A1" s="24" t="s">
        <v>80</v>
      </c>
      <c r="B1" s="24" t="s">
        <v>81</v>
      </c>
      <c r="C1" s="25" t="s">
        <v>82</v>
      </c>
      <c r="E1" s="1" t="s">
        <v>84</v>
      </c>
      <c r="F1">
        <f>SUMIF($B$2:$B$13,E1,$C$2:$C$13)</f>
        <v>104000</v>
      </c>
    </row>
    <row r="2" spans="1:6" x14ac:dyDescent="0.3">
      <c r="A2" s="1" t="s">
        <v>83</v>
      </c>
      <c r="B2" s="1" t="s">
        <v>84</v>
      </c>
      <c r="C2" s="23">
        <v>15000</v>
      </c>
      <c r="E2" s="1" t="s">
        <v>86</v>
      </c>
      <c r="F2">
        <f t="shared" ref="F2:F3" si="0">SUMIF($B$2:$B$13,E2,$C$2:$C$13)</f>
        <v>102000</v>
      </c>
    </row>
    <row r="3" spans="1:6" x14ac:dyDescent="0.3">
      <c r="A3" s="1" t="s">
        <v>85</v>
      </c>
      <c r="B3" s="1" t="s">
        <v>86</v>
      </c>
      <c r="C3" s="23">
        <v>15000</v>
      </c>
      <c r="E3" s="1" t="s">
        <v>88</v>
      </c>
      <c r="F3">
        <f t="shared" si="0"/>
        <v>49000</v>
      </c>
    </row>
    <row r="4" spans="1:6" x14ac:dyDescent="0.3">
      <c r="A4" s="1" t="s">
        <v>87</v>
      </c>
      <c r="B4" s="1" t="s">
        <v>88</v>
      </c>
      <c r="C4" s="23">
        <v>12000</v>
      </c>
    </row>
    <row r="5" spans="1:6" x14ac:dyDescent="0.3">
      <c r="A5" s="1" t="s">
        <v>89</v>
      </c>
      <c r="B5" s="1" t="s">
        <v>84</v>
      </c>
      <c r="C5" s="23">
        <v>12000</v>
      </c>
    </row>
    <row r="6" spans="1:6" x14ac:dyDescent="0.3">
      <c r="A6" s="1" t="s">
        <v>90</v>
      </c>
      <c r="B6" s="1" t="s">
        <v>84</v>
      </c>
      <c r="C6" s="23">
        <v>15000</v>
      </c>
    </row>
    <row r="7" spans="1:6" x14ac:dyDescent="0.3">
      <c r="A7" s="1" t="s">
        <v>91</v>
      </c>
      <c r="B7" s="1" t="s">
        <v>86</v>
      </c>
      <c r="C7" s="23">
        <v>12000</v>
      </c>
    </row>
    <row r="8" spans="1:6" x14ac:dyDescent="0.3">
      <c r="A8" s="1" t="s">
        <v>92</v>
      </c>
      <c r="B8" s="1" t="s">
        <v>88</v>
      </c>
      <c r="C8" s="23">
        <v>12000</v>
      </c>
    </row>
    <row r="9" spans="1:6" x14ac:dyDescent="0.3">
      <c r="A9" s="1" t="s">
        <v>93</v>
      </c>
      <c r="B9" s="1" t="s">
        <v>84</v>
      </c>
      <c r="C9" s="23">
        <v>15000</v>
      </c>
    </row>
    <row r="10" spans="1:6" x14ac:dyDescent="0.3">
      <c r="A10" s="1" t="s">
        <v>94</v>
      </c>
      <c r="B10" s="1" t="s">
        <v>84</v>
      </c>
      <c r="C10" s="23">
        <v>12000</v>
      </c>
    </row>
    <row r="11" spans="1:6" x14ac:dyDescent="0.3">
      <c r="A11" s="1" t="s">
        <v>95</v>
      </c>
      <c r="B11" s="1" t="s">
        <v>86</v>
      </c>
      <c r="C11" s="23">
        <v>75000</v>
      </c>
    </row>
    <row r="12" spans="1:6" x14ac:dyDescent="0.3">
      <c r="A12" s="1" t="s">
        <v>96</v>
      </c>
      <c r="B12" s="1" t="s">
        <v>88</v>
      </c>
      <c r="C12" s="22">
        <v>25000</v>
      </c>
    </row>
    <row r="13" spans="1:6" x14ac:dyDescent="0.3">
      <c r="A13" s="1" t="s">
        <v>97</v>
      </c>
      <c r="B13" s="1" t="s">
        <v>84</v>
      </c>
      <c r="C13" s="22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H4" sqref="H4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</cols>
  <sheetData>
    <row r="1" spans="1:8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SUMIFS($D$2:$D$13,$B$2:$B$13,$F2,$C$2:$C$13,G$1)</f>
        <v>9500</v>
      </c>
      <c r="H2" s="1">
        <f>SUMIFS($D$2:$D$13,$B$2:$B$13,$F2,$C$2:$C$13,H$1)</f>
        <v>5150</v>
      </c>
    </row>
    <row r="3" spans="1:8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SUMIFS($D$2:$D$13,$B$2:$B$13,$F3,$C$2:$C$13,G$1)</f>
        <v>6500</v>
      </c>
      <c r="H3" s="1">
        <f>SUMIFS($D$2:$D$13,$B$2:$B$13,$F3,$C$2:$C$13,H$1)</f>
        <v>11100</v>
      </c>
    </row>
    <row r="4" spans="1:8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11510</v>
      </c>
      <c r="H4" s="1">
        <f t="shared" si="0"/>
        <v>0</v>
      </c>
    </row>
    <row r="5" spans="1:8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3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G4" sqref="G4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  <col min="7" max="7" width="10.21875" bestFit="1" customWidth="1"/>
  </cols>
  <sheetData>
    <row r="1" spans="1:8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202</v>
      </c>
      <c r="H1" s="27"/>
    </row>
    <row r="2" spans="1:8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/>
    </row>
    <row r="5" spans="1:8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3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G4" sqref="G4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</cols>
  <sheetData>
    <row r="1" spans="1:8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>
        <f t="shared" si="0"/>
        <v>0</v>
      </c>
    </row>
    <row r="5" spans="1:8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3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X15"/>
  <sheetViews>
    <sheetView topLeftCell="B2" zoomScale="200" zoomScaleNormal="200" workbookViewId="0">
      <selection activeCell="P8" sqref="P8"/>
    </sheetView>
  </sheetViews>
  <sheetFormatPr defaultRowHeight="14.4" x14ac:dyDescent="0.3"/>
  <cols>
    <col min="1" max="1" width="10.44140625" bestFit="1" customWidth="1"/>
    <col min="2" max="2" width="14" bestFit="1" customWidth="1"/>
    <col min="3" max="21" width="2.6640625" customWidth="1"/>
    <col min="23" max="23" width="9.33203125" customWidth="1"/>
  </cols>
  <sheetData>
    <row r="1" spans="3:24" ht="15" thickBot="1" x14ac:dyDescent="0.35"/>
    <row r="2" spans="3:24" ht="15" thickBot="1" x14ac:dyDescent="0.35">
      <c r="C2" s="52" t="s">
        <v>107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4"/>
    </row>
    <row r="3" spans="3:24" x14ac:dyDescent="0.3">
      <c r="C3" s="29" t="s">
        <v>112</v>
      </c>
      <c r="D3" s="29" t="s">
        <v>112</v>
      </c>
      <c r="E3" s="29" t="s">
        <v>112</v>
      </c>
      <c r="F3" s="29" t="s">
        <v>112</v>
      </c>
      <c r="G3" s="29" t="s">
        <v>112</v>
      </c>
      <c r="H3" s="29" t="s">
        <v>112</v>
      </c>
      <c r="I3" s="29" t="s">
        <v>112</v>
      </c>
      <c r="J3" s="29" t="s">
        <v>112</v>
      </c>
      <c r="K3" s="29" t="s">
        <v>112</v>
      </c>
      <c r="L3" s="29" t="s">
        <v>112</v>
      </c>
      <c r="M3" s="29" t="s">
        <v>112</v>
      </c>
      <c r="N3" s="29" t="s">
        <v>112</v>
      </c>
      <c r="O3" s="29" t="s">
        <v>112</v>
      </c>
      <c r="P3" s="29" t="s">
        <v>112</v>
      </c>
      <c r="Q3" s="29" t="s">
        <v>112</v>
      </c>
      <c r="R3" s="29" t="s">
        <v>112</v>
      </c>
      <c r="S3" s="29" t="s">
        <v>112</v>
      </c>
      <c r="T3" s="29" t="s">
        <v>112</v>
      </c>
      <c r="U3" s="29" t="s">
        <v>112</v>
      </c>
      <c r="W3" t="s">
        <v>108</v>
      </c>
      <c r="X3">
        <f>COUNTA(C3:U15)</f>
        <v>136</v>
      </c>
    </row>
    <row r="4" spans="3:24" x14ac:dyDescent="0.3">
      <c r="C4" s="2" t="s">
        <v>113</v>
      </c>
      <c r="D4" s="2" t="s">
        <v>113</v>
      </c>
      <c r="E4" s="2" t="s">
        <v>113</v>
      </c>
      <c r="F4" s="2" t="s">
        <v>113</v>
      </c>
      <c r="G4" s="2"/>
      <c r="H4" s="2"/>
      <c r="I4" s="2"/>
      <c r="J4" s="2"/>
      <c r="K4" s="2" t="s">
        <v>113</v>
      </c>
      <c r="L4" s="2" t="s">
        <v>113</v>
      </c>
      <c r="M4" s="2" t="s">
        <v>113</v>
      </c>
      <c r="N4" s="2"/>
      <c r="O4" s="2"/>
      <c r="P4" s="2"/>
      <c r="Q4" s="2"/>
      <c r="R4" s="2"/>
      <c r="S4" s="2" t="s">
        <v>113</v>
      </c>
      <c r="T4" s="2" t="s">
        <v>113</v>
      </c>
      <c r="U4" s="2" t="s">
        <v>113</v>
      </c>
      <c r="W4" t="s">
        <v>109</v>
      </c>
      <c r="X4">
        <f>COUNTBLANK(C3:U15)</f>
        <v>111</v>
      </c>
    </row>
    <row r="5" spans="3:24" x14ac:dyDescent="0.3">
      <c r="C5" s="2" t="s">
        <v>112</v>
      </c>
      <c r="D5" s="2" t="s">
        <v>112</v>
      </c>
      <c r="E5" s="2" t="s">
        <v>112</v>
      </c>
      <c r="F5" s="2" t="s">
        <v>112</v>
      </c>
      <c r="G5" s="2"/>
      <c r="H5" s="2"/>
      <c r="I5" s="2"/>
      <c r="J5" s="2"/>
      <c r="K5" s="2" t="s">
        <v>112</v>
      </c>
      <c r="L5" s="2" t="s">
        <v>112</v>
      </c>
      <c r="M5" s="2" t="s">
        <v>112</v>
      </c>
      <c r="N5" s="2"/>
      <c r="O5" s="2" t="s">
        <v>113</v>
      </c>
      <c r="P5" s="2"/>
      <c r="Q5" s="2"/>
      <c r="R5" s="2"/>
      <c r="S5" s="2" t="s">
        <v>112</v>
      </c>
      <c r="T5" s="2" t="s">
        <v>112</v>
      </c>
      <c r="U5" s="2" t="s">
        <v>112</v>
      </c>
    </row>
    <row r="6" spans="3:24" x14ac:dyDescent="0.3">
      <c r="C6" s="2" t="s">
        <v>113</v>
      </c>
      <c r="D6" s="2" t="s">
        <v>113</v>
      </c>
      <c r="E6" s="2" t="s">
        <v>113</v>
      </c>
      <c r="F6" s="2" t="s">
        <v>113</v>
      </c>
      <c r="G6" s="2"/>
      <c r="H6" s="2"/>
      <c r="I6" s="2"/>
      <c r="J6" s="2"/>
      <c r="K6" s="2" t="s">
        <v>113</v>
      </c>
      <c r="L6" s="2" t="s">
        <v>113</v>
      </c>
      <c r="M6" s="2" t="s">
        <v>113</v>
      </c>
      <c r="N6" s="2"/>
      <c r="O6" s="2" t="s">
        <v>112</v>
      </c>
      <c r="P6" s="2"/>
      <c r="Q6" s="2" t="s">
        <v>113</v>
      </c>
      <c r="R6" s="2"/>
      <c r="S6" s="2"/>
      <c r="T6" s="2" t="s">
        <v>113</v>
      </c>
      <c r="U6" s="2" t="s">
        <v>113</v>
      </c>
      <c r="W6" t="s">
        <v>110</v>
      </c>
      <c r="X6">
        <f>COUNTIF(C3:U15,"M")</f>
        <v>55</v>
      </c>
    </row>
    <row r="7" spans="3:24" x14ac:dyDescent="0.3">
      <c r="C7" s="2" t="s">
        <v>112</v>
      </c>
      <c r="D7" s="2" t="s">
        <v>112</v>
      </c>
      <c r="E7" s="2" t="s">
        <v>112</v>
      </c>
      <c r="F7" s="2" t="s">
        <v>112</v>
      </c>
      <c r="G7" s="2"/>
      <c r="H7" s="2"/>
      <c r="I7" s="2"/>
      <c r="J7" s="2"/>
      <c r="K7" s="2" t="s">
        <v>112</v>
      </c>
      <c r="L7" s="2"/>
      <c r="M7" s="2"/>
      <c r="N7" s="2"/>
      <c r="O7" s="2"/>
      <c r="P7" s="2"/>
      <c r="Q7" s="2" t="s">
        <v>112</v>
      </c>
      <c r="R7" s="2"/>
      <c r="S7" s="2"/>
      <c r="T7" s="2" t="s">
        <v>112</v>
      </c>
      <c r="U7" s="2" t="s">
        <v>112</v>
      </c>
      <c r="W7" t="s">
        <v>111</v>
      </c>
      <c r="X7">
        <f>COUNTIF(C3:U15,"F")</f>
        <v>81</v>
      </c>
    </row>
    <row r="8" spans="3:24" x14ac:dyDescent="0.3">
      <c r="C8" s="2" t="s">
        <v>112</v>
      </c>
      <c r="D8" s="2" t="s">
        <v>112</v>
      </c>
      <c r="E8" s="2" t="s">
        <v>112</v>
      </c>
      <c r="F8" s="2" t="s">
        <v>112</v>
      </c>
      <c r="G8" s="2" t="s">
        <v>112</v>
      </c>
      <c r="H8" s="2" t="s">
        <v>112</v>
      </c>
      <c r="I8" s="2" t="s">
        <v>112</v>
      </c>
      <c r="J8" s="2" t="s">
        <v>112</v>
      </c>
      <c r="K8" s="2" t="s">
        <v>112</v>
      </c>
      <c r="L8" s="2"/>
      <c r="M8" s="2"/>
      <c r="N8" s="2"/>
      <c r="O8" s="2"/>
      <c r="P8" s="2" t="s">
        <v>112</v>
      </c>
      <c r="Q8" s="2" t="s">
        <v>112</v>
      </c>
      <c r="R8" s="2"/>
      <c r="S8" s="2"/>
      <c r="T8" s="2" t="s">
        <v>112</v>
      </c>
      <c r="U8" s="2" t="s">
        <v>112</v>
      </c>
    </row>
    <row r="9" spans="3:24" x14ac:dyDescent="0.3">
      <c r="C9" s="2" t="s">
        <v>112</v>
      </c>
      <c r="D9" s="2" t="s">
        <v>112</v>
      </c>
      <c r="E9" s="2" t="s">
        <v>112</v>
      </c>
      <c r="F9" s="2" t="s">
        <v>112</v>
      </c>
      <c r="G9" s="2" t="s">
        <v>112</v>
      </c>
      <c r="H9" s="2" t="s">
        <v>112</v>
      </c>
      <c r="I9" s="2" t="s">
        <v>112</v>
      </c>
      <c r="J9" s="2" t="s">
        <v>112</v>
      </c>
      <c r="K9" s="2" t="s">
        <v>112</v>
      </c>
      <c r="L9" s="2"/>
      <c r="M9" s="2"/>
      <c r="N9" s="2"/>
      <c r="O9" s="2"/>
      <c r="P9" s="2" t="s">
        <v>112</v>
      </c>
      <c r="Q9" s="2" t="s">
        <v>112</v>
      </c>
      <c r="R9" s="2"/>
      <c r="S9" s="2"/>
      <c r="T9" s="2" t="s">
        <v>112</v>
      </c>
      <c r="U9" s="2" t="s">
        <v>112</v>
      </c>
    </row>
    <row r="10" spans="3:24" x14ac:dyDescent="0.3">
      <c r="C10" s="2" t="s">
        <v>112</v>
      </c>
      <c r="D10" s="2" t="s">
        <v>112</v>
      </c>
      <c r="E10" s="2" t="s">
        <v>112</v>
      </c>
      <c r="F10" s="2" t="s">
        <v>112</v>
      </c>
      <c r="G10" s="2" t="s">
        <v>112</v>
      </c>
      <c r="H10" s="2" t="s">
        <v>112</v>
      </c>
      <c r="I10" s="2" t="s">
        <v>112</v>
      </c>
      <c r="J10" s="2" t="s">
        <v>112</v>
      </c>
      <c r="K10" s="2" t="s">
        <v>112</v>
      </c>
      <c r="L10" s="2" t="s">
        <v>112</v>
      </c>
      <c r="M10" s="2" t="s">
        <v>112</v>
      </c>
      <c r="N10" s="2" t="s">
        <v>112</v>
      </c>
      <c r="O10" s="2" t="s">
        <v>112</v>
      </c>
      <c r="P10" s="2" t="s">
        <v>112</v>
      </c>
      <c r="Q10" s="2" t="s">
        <v>112</v>
      </c>
      <c r="R10" s="2"/>
      <c r="S10" s="2"/>
      <c r="T10" s="2" t="s">
        <v>112</v>
      </c>
      <c r="U10" s="2" t="s">
        <v>112</v>
      </c>
    </row>
    <row r="11" spans="3:24" x14ac:dyDescent="0.3">
      <c r="C11" s="2" t="s">
        <v>113</v>
      </c>
      <c r="D11" s="2" t="s">
        <v>113</v>
      </c>
      <c r="E11" s="2"/>
      <c r="F11" s="2"/>
      <c r="G11" s="2"/>
      <c r="H11" s="2"/>
      <c r="I11" s="2"/>
      <c r="J11" s="2"/>
      <c r="K11" s="2"/>
      <c r="L11" s="2" t="s">
        <v>113</v>
      </c>
      <c r="M11" s="2" t="s">
        <v>113</v>
      </c>
      <c r="N11" s="2" t="s">
        <v>113</v>
      </c>
      <c r="O11" s="2" t="s">
        <v>113</v>
      </c>
      <c r="P11" s="2" t="s">
        <v>113</v>
      </c>
      <c r="Q11" s="2" t="s">
        <v>113</v>
      </c>
      <c r="R11" s="2"/>
      <c r="S11" s="2"/>
      <c r="T11" s="2" t="s">
        <v>113</v>
      </c>
      <c r="U11" s="2" t="s">
        <v>113</v>
      </c>
    </row>
    <row r="12" spans="3:24" x14ac:dyDescent="0.3">
      <c r="C12" s="2" t="s">
        <v>113</v>
      </c>
      <c r="D12" s="2" t="s">
        <v>113</v>
      </c>
      <c r="E12" s="2"/>
      <c r="F12" s="2"/>
      <c r="G12" s="2"/>
      <c r="H12" s="2"/>
      <c r="I12" s="2"/>
      <c r="J12" s="2"/>
      <c r="K12" s="2"/>
      <c r="L12" s="2" t="s">
        <v>113</v>
      </c>
      <c r="M12" s="2" t="s">
        <v>113</v>
      </c>
      <c r="N12" s="2"/>
      <c r="O12" s="2"/>
      <c r="P12" s="2"/>
      <c r="Q12" s="2"/>
      <c r="R12" s="2"/>
      <c r="S12" s="2"/>
      <c r="T12" s="2" t="s">
        <v>113</v>
      </c>
      <c r="U12" s="2" t="s">
        <v>113</v>
      </c>
    </row>
    <row r="13" spans="3:24" x14ac:dyDescent="0.3">
      <c r="C13" s="2" t="s">
        <v>113</v>
      </c>
      <c r="D13" s="2" t="s">
        <v>113</v>
      </c>
      <c r="E13" s="2"/>
      <c r="F13" s="2"/>
      <c r="G13" s="2"/>
      <c r="H13" s="2"/>
      <c r="I13" s="2"/>
      <c r="J13" s="2"/>
      <c r="K13" s="2"/>
      <c r="L13" s="2" t="s">
        <v>113</v>
      </c>
      <c r="M13" s="2" t="s">
        <v>113</v>
      </c>
      <c r="N13" s="2"/>
      <c r="O13" s="2"/>
      <c r="P13" s="2"/>
      <c r="Q13" s="2"/>
      <c r="R13" s="2"/>
      <c r="S13" s="2"/>
      <c r="T13" s="2" t="s">
        <v>113</v>
      </c>
      <c r="U13" s="2" t="s">
        <v>113</v>
      </c>
    </row>
    <row r="14" spans="3:24" x14ac:dyDescent="0.3">
      <c r="C14" s="2" t="s">
        <v>113</v>
      </c>
      <c r="D14" s="2" t="s">
        <v>113</v>
      </c>
      <c r="E14" s="2"/>
      <c r="F14" s="2"/>
      <c r="G14" s="2"/>
      <c r="H14" s="2"/>
      <c r="I14" s="2"/>
      <c r="J14" s="2"/>
      <c r="K14" s="2"/>
      <c r="L14" s="2" t="s">
        <v>113</v>
      </c>
      <c r="M14" s="2" t="s">
        <v>113</v>
      </c>
      <c r="N14" s="2"/>
      <c r="O14" s="2"/>
      <c r="P14" s="2"/>
      <c r="Q14" s="2"/>
      <c r="R14" s="2"/>
      <c r="S14" s="2"/>
      <c r="T14" s="2" t="s">
        <v>113</v>
      </c>
      <c r="U14" s="2" t="s">
        <v>113</v>
      </c>
    </row>
    <row r="15" spans="3:24" x14ac:dyDescent="0.3">
      <c r="C15" s="2" t="s">
        <v>113</v>
      </c>
      <c r="D15" s="2" t="s">
        <v>113</v>
      </c>
      <c r="E15" s="2"/>
      <c r="F15" s="2"/>
      <c r="G15" s="2"/>
      <c r="H15" s="2"/>
      <c r="I15" s="2"/>
      <c r="J15" s="2"/>
      <c r="K15" s="2"/>
      <c r="L15" s="2" t="s">
        <v>113</v>
      </c>
      <c r="M15" s="2" t="s">
        <v>113</v>
      </c>
      <c r="N15" s="2"/>
      <c r="O15" s="2"/>
      <c r="P15" s="2"/>
      <c r="Q15" s="2"/>
      <c r="R15" s="2"/>
      <c r="S15" s="2"/>
      <c r="T15" s="2" t="s">
        <v>113</v>
      </c>
      <c r="U15" s="2" t="s">
        <v>113</v>
      </c>
    </row>
  </sheetData>
  <mergeCells count="1">
    <mergeCell ref="C2:U2"/>
  </mergeCells>
  <conditionalFormatting sqref="C3:U15">
    <cfRule type="cellIs" dxfId="1" priority="1" operator="equal">
      <formula>"M"</formula>
    </cfRule>
    <cfRule type="cellIs" dxfId="0" priority="2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200" zoomScaleNormal="200" workbookViewId="0">
      <selection activeCell="H4" sqref="H4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</cols>
  <sheetData>
    <row r="1" spans="1:10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10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</row>
    <row r="3" spans="1:10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</row>
    <row r="4" spans="1:10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2877.5</v>
      </c>
      <c r="H4" s="1" t="str">
        <f>IFERROR(AVERAGEIFS($D$2:$D$13,$B$2:$B$13,$F4,$C$2:$C$13,H$1),"")</f>
        <v/>
      </c>
      <c r="J4" s="1">
        <f ca="1">AVERAGEIF(B:B,F4,$D$2:$D$13)</f>
        <v>2200</v>
      </c>
    </row>
    <row r="5" spans="1:10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10" x14ac:dyDescent="0.3">
      <c r="A6" s="26">
        <v>43743</v>
      </c>
      <c r="B6" s="1" t="s">
        <v>101</v>
      </c>
      <c r="C6" s="1" t="s">
        <v>105</v>
      </c>
      <c r="D6" s="1">
        <v>4500</v>
      </c>
    </row>
    <row r="7" spans="1:10" x14ac:dyDescent="0.3">
      <c r="A7" s="26">
        <v>43744</v>
      </c>
      <c r="B7" s="1" t="s">
        <v>103</v>
      </c>
      <c r="C7" s="1" t="s">
        <v>104</v>
      </c>
      <c r="D7" s="1">
        <v>6000</v>
      </c>
    </row>
    <row r="8" spans="1:10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10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10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10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10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10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200" zoomScaleNormal="200" workbookViewId="0"/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</cols>
  <sheetData>
    <row r="1" spans="1:6" x14ac:dyDescent="0.3">
      <c r="A1" s="27" t="s">
        <v>98</v>
      </c>
      <c r="B1" s="27" t="s">
        <v>99</v>
      </c>
      <c r="C1" s="27" t="s">
        <v>100</v>
      </c>
      <c r="D1" s="27" t="s">
        <v>79</v>
      </c>
    </row>
    <row r="2" spans="1:6" x14ac:dyDescent="0.3">
      <c r="A2" s="26">
        <v>43740</v>
      </c>
      <c r="B2" s="1" t="s">
        <v>102</v>
      </c>
      <c r="C2" s="1" t="s">
        <v>105</v>
      </c>
      <c r="D2" s="1">
        <v>6000</v>
      </c>
      <c r="F2">
        <f>SUBTOTAL(4,D2:D13)</f>
        <v>6500</v>
      </c>
    </row>
    <row r="3" spans="1:6" x14ac:dyDescent="0.3">
      <c r="A3" s="26">
        <v>43742</v>
      </c>
      <c r="B3" s="1" t="s">
        <v>102</v>
      </c>
      <c r="C3" s="1" t="s">
        <v>104</v>
      </c>
      <c r="D3" s="1">
        <v>6500</v>
      </c>
    </row>
    <row r="4" spans="1:6" x14ac:dyDescent="0.3">
      <c r="A4" s="26">
        <v>43745</v>
      </c>
      <c r="B4" s="1" t="s">
        <v>102</v>
      </c>
      <c r="C4" s="1" t="s">
        <v>105</v>
      </c>
      <c r="D4" s="1">
        <v>4500</v>
      </c>
    </row>
    <row r="5" spans="1:6" x14ac:dyDescent="0.3">
      <c r="A5" s="26">
        <v>43746</v>
      </c>
      <c r="B5" s="1" t="s">
        <v>102</v>
      </c>
      <c r="C5" s="1" t="s">
        <v>105</v>
      </c>
      <c r="D5" s="1">
        <v>600</v>
      </c>
    </row>
    <row r="6" spans="1:6" x14ac:dyDescent="0.3">
      <c r="A6" s="26">
        <v>43744</v>
      </c>
      <c r="B6" s="1" t="s">
        <v>103</v>
      </c>
      <c r="C6" s="1" t="s">
        <v>104</v>
      </c>
      <c r="D6" s="1">
        <v>6000</v>
      </c>
    </row>
    <row r="7" spans="1:6" x14ac:dyDescent="0.3">
      <c r="A7" s="26">
        <v>43747</v>
      </c>
      <c r="B7" s="1" t="s">
        <v>103</v>
      </c>
      <c r="C7" s="1" t="s">
        <v>104</v>
      </c>
      <c r="D7" s="1">
        <v>1500</v>
      </c>
    </row>
    <row r="8" spans="1:6" x14ac:dyDescent="0.3">
      <c r="A8" s="26">
        <v>43748</v>
      </c>
      <c r="B8" s="1" t="s">
        <v>103</v>
      </c>
      <c r="C8" s="1" t="s">
        <v>104</v>
      </c>
      <c r="D8" s="1">
        <v>1450</v>
      </c>
    </row>
    <row r="9" spans="1:6" x14ac:dyDescent="0.3">
      <c r="A9" s="26">
        <v>43750</v>
      </c>
      <c r="B9" s="1" t="s">
        <v>103</v>
      </c>
      <c r="C9" s="1" t="s">
        <v>104</v>
      </c>
      <c r="D9" s="1">
        <v>2560</v>
      </c>
    </row>
    <row r="10" spans="1:6" x14ac:dyDescent="0.3">
      <c r="A10" s="26">
        <v>43739</v>
      </c>
      <c r="B10" s="1" t="s">
        <v>101</v>
      </c>
      <c r="C10" s="1" t="s">
        <v>104</v>
      </c>
      <c r="D10" s="1">
        <v>5000</v>
      </c>
    </row>
    <row r="11" spans="1:6" x14ac:dyDescent="0.3">
      <c r="A11" s="26">
        <v>43741</v>
      </c>
      <c r="B11" s="1" t="s">
        <v>101</v>
      </c>
      <c r="C11" s="1" t="s">
        <v>104</v>
      </c>
      <c r="D11" s="1">
        <v>4500</v>
      </c>
    </row>
    <row r="12" spans="1:6" x14ac:dyDescent="0.3">
      <c r="A12" s="26">
        <v>43743</v>
      </c>
      <c r="B12" s="1" t="s">
        <v>101</v>
      </c>
      <c r="C12" s="1" t="s">
        <v>105</v>
      </c>
      <c r="D12" s="1">
        <v>4500</v>
      </c>
    </row>
    <row r="13" spans="1:6" x14ac:dyDescent="0.3">
      <c r="A13" s="26">
        <v>43749</v>
      </c>
      <c r="B13" s="1" t="s">
        <v>101</v>
      </c>
      <c r="C13" s="1" t="s">
        <v>105</v>
      </c>
      <c r="D13" s="1">
        <v>650</v>
      </c>
    </row>
  </sheetData>
  <sortState ref="A2:D13">
    <sortCondition ref="B2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200" zoomScaleNormal="200" workbookViewId="0">
      <selection activeCell="H3" sqref="H3"/>
    </sheetView>
  </sheetViews>
  <sheetFormatPr defaultRowHeight="14.4" x14ac:dyDescent="0.3"/>
  <cols>
    <col min="1" max="1" width="10.44140625" bestFit="1" customWidth="1"/>
    <col min="2" max="2" width="11.5546875" customWidth="1"/>
  </cols>
  <sheetData>
    <row r="1" spans="1:8" x14ac:dyDescent="0.3">
      <c r="A1" s="27" t="s">
        <v>98</v>
      </c>
      <c r="B1" s="27" t="s">
        <v>203</v>
      </c>
      <c r="C1" s="27" t="s">
        <v>204</v>
      </c>
      <c r="D1" s="27" t="s">
        <v>114</v>
      </c>
      <c r="E1" s="66" t="s">
        <v>106</v>
      </c>
    </row>
    <row r="2" spans="1:8" x14ac:dyDescent="0.3">
      <c r="A2" s="26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 t="e">
        <f>SUMPRODUCT(C2:C13,D2:D14)</f>
        <v>#VALUE!</v>
      </c>
    </row>
    <row r="3" spans="1:8" x14ac:dyDescent="0.3">
      <c r="A3" s="26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 x14ac:dyDescent="0.3">
      <c r="A4" s="26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 x14ac:dyDescent="0.3">
      <c r="A5" s="26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8" x14ac:dyDescent="0.3">
      <c r="A6" s="26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 x14ac:dyDescent="0.3">
      <c r="A7" s="26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 x14ac:dyDescent="0.3">
      <c r="A8" s="26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 x14ac:dyDescent="0.3">
      <c r="A9" s="26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 x14ac:dyDescent="0.3">
      <c r="A10" s="26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 x14ac:dyDescent="0.3">
      <c r="A11" s="26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 x14ac:dyDescent="0.3">
      <c r="A12" s="26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 x14ac:dyDescent="0.3">
      <c r="A13" s="26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 x14ac:dyDescent="0.3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200" zoomScaleNormal="200" workbookViewId="0">
      <selection activeCell="D3" sqref="D3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3.6640625" customWidth="1"/>
  </cols>
  <sheetData>
    <row r="1" spans="1:7" x14ac:dyDescent="0.3">
      <c r="A1" s="27" t="s">
        <v>98</v>
      </c>
      <c r="B1" s="27" t="s">
        <v>127</v>
      </c>
      <c r="C1" s="27" t="s">
        <v>128</v>
      </c>
      <c r="D1" s="27" t="s">
        <v>129</v>
      </c>
      <c r="G1" s="67" t="s">
        <v>205</v>
      </c>
    </row>
    <row r="2" spans="1:7" x14ac:dyDescent="0.3">
      <c r="A2" s="26">
        <v>43739</v>
      </c>
      <c r="B2" s="2" t="s">
        <v>3</v>
      </c>
      <c r="C2" s="1">
        <v>15000</v>
      </c>
      <c r="D2" s="1" t="str">
        <f>IF(C2&lt;20000,"YES","NO")</f>
        <v>YES</v>
      </c>
      <c r="G2">
        <v>20000</v>
      </c>
    </row>
    <row r="3" spans="1:7" x14ac:dyDescent="0.3">
      <c r="A3" s="26">
        <v>43740</v>
      </c>
      <c r="B3" s="2" t="s">
        <v>4</v>
      </c>
      <c r="C3" s="1">
        <v>16000</v>
      </c>
      <c r="D3" s="1" t="str">
        <f t="shared" ref="D3:D13" si="0">IF(C3&lt;20000,"YES","NO")</f>
        <v>YES</v>
      </c>
    </row>
    <row r="4" spans="1:7" x14ac:dyDescent="0.3">
      <c r="A4" s="26">
        <v>43741</v>
      </c>
      <c r="B4" s="2" t="s">
        <v>5</v>
      </c>
      <c r="C4" s="1">
        <v>18000</v>
      </c>
      <c r="D4" s="1" t="str">
        <f t="shared" si="0"/>
        <v>YES</v>
      </c>
    </row>
    <row r="5" spans="1:7" x14ac:dyDescent="0.3">
      <c r="A5" s="26">
        <v>43742</v>
      </c>
      <c r="B5" s="2" t="s">
        <v>6</v>
      </c>
      <c r="C5" s="1">
        <v>19000</v>
      </c>
      <c r="D5" s="1" t="str">
        <f t="shared" si="0"/>
        <v>YES</v>
      </c>
    </row>
    <row r="6" spans="1:7" x14ac:dyDescent="0.3">
      <c r="A6" s="26">
        <v>43743</v>
      </c>
      <c r="B6" s="2" t="s">
        <v>7</v>
      </c>
      <c r="C6" s="1">
        <v>25000</v>
      </c>
      <c r="D6" s="1" t="str">
        <f t="shared" si="0"/>
        <v>NO</v>
      </c>
    </row>
    <row r="7" spans="1:7" x14ac:dyDescent="0.3">
      <c r="A7" s="26">
        <v>43744</v>
      </c>
      <c r="B7" s="2" t="s">
        <v>8</v>
      </c>
      <c r="C7" s="1">
        <v>22000</v>
      </c>
      <c r="D7" s="1" t="str">
        <f t="shared" si="0"/>
        <v>NO</v>
      </c>
    </row>
    <row r="8" spans="1:7" x14ac:dyDescent="0.3">
      <c r="A8" s="26">
        <v>43745</v>
      </c>
      <c r="B8" s="2" t="s">
        <v>9</v>
      </c>
      <c r="C8" s="1">
        <v>15000</v>
      </c>
      <c r="D8" s="1" t="str">
        <f t="shared" si="0"/>
        <v>YES</v>
      </c>
    </row>
    <row r="9" spans="1:7" x14ac:dyDescent="0.3">
      <c r="A9" s="26">
        <v>43746</v>
      </c>
      <c r="B9" s="2" t="s">
        <v>12</v>
      </c>
      <c r="C9" s="1">
        <v>35000</v>
      </c>
      <c r="D9" s="1" t="str">
        <f t="shared" si="0"/>
        <v>NO</v>
      </c>
    </row>
    <row r="10" spans="1:7" x14ac:dyDescent="0.3">
      <c r="A10" s="26">
        <v>43747</v>
      </c>
      <c r="B10" s="2" t="s">
        <v>10</v>
      </c>
      <c r="C10" s="1">
        <v>15000</v>
      </c>
      <c r="D10" s="1" t="str">
        <f t="shared" si="0"/>
        <v>YES</v>
      </c>
    </row>
    <row r="11" spans="1:7" x14ac:dyDescent="0.3">
      <c r="A11" s="26">
        <v>43748</v>
      </c>
      <c r="B11" s="2" t="s">
        <v>13</v>
      </c>
      <c r="C11" s="1">
        <v>35000</v>
      </c>
      <c r="D11" s="1" t="str">
        <f t="shared" si="0"/>
        <v>NO</v>
      </c>
    </row>
    <row r="12" spans="1:7" x14ac:dyDescent="0.3">
      <c r="A12" s="26">
        <v>43749</v>
      </c>
      <c r="B12" s="2" t="s">
        <v>14</v>
      </c>
      <c r="C12" s="1">
        <v>18000</v>
      </c>
      <c r="D12" s="1" t="str">
        <f t="shared" si="0"/>
        <v>YES</v>
      </c>
    </row>
    <row r="13" spans="1:7" x14ac:dyDescent="0.3">
      <c r="A13" s="26">
        <v>43750</v>
      </c>
      <c r="B13" s="2" t="s">
        <v>15</v>
      </c>
      <c r="C13" s="1">
        <v>21000</v>
      </c>
      <c r="D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C6" sqref="C6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4.33203125" customWidth="1"/>
    <col min="4" max="4" width="13.6640625" customWidth="1"/>
    <col min="7" max="7" width="9.6640625" bestFit="1" customWidth="1"/>
  </cols>
  <sheetData>
    <row r="1" spans="1:8" x14ac:dyDescent="0.3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F1" s="66" t="s">
        <v>208</v>
      </c>
      <c r="G1" s="68" t="s">
        <v>130</v>
      </c>
      <c r="H1" s="68" t="s">
        <v>206</v>
      </c>
    </row>
    <row r="2" spans="1:8" x14ac:dyDescent="0.3">
      <c r="A2" s="26">
        <v>43739</v>
      </c>
      <c r="B2" s="2" t="s">
        <v>3</v>
      </c>
      <c r="C2" s="2" t="s">
        <v>131</v>
      </c>
      <c r="D2" s="1">
        <v>15000</v>
      </c>
      <c r="E2" s="1" t="str">
        <f>IF(AND(C2="MANAGER",D2&gt;=20000),"YES","NO")</f>
        <v>NO</v>
      </c>
      <c r="F2" t="str">
        <f>IF(OR(C2="MANAGER",D2&gt;=20000),"YES","NO")</f>
        <v>YES</v>
      </c>
      <c r="G2" t="s">
        <v>131</v>
      </c>
      <c r="H2" t="s">
        <v>207</v>
      </c>
    </row>
    <row r="3" spans="1:8" x14ac:dyDescent="0.3">
      <c r="A3" s="26">
        <v>43740</v>
      </c>
      <c r="B3" s="2" t="s">
        <v>4</v>
      </c>
      <c r="C3" s="2" t="s">
        <v>132</v>
      </c>
      <c r="D3" s="1">
        <v>16000</v>
      </c>
      <c r="E3" s="1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 x14ac:dyDescent="0.3">
      <c r="A4" s="26">
        <v>43741</v>
      </c>
      <c r="B4" s="2" t="s">
        <v>5</v>
      </c>
      <c r="C4" s="2" t="s">
        <v>131</v>
      </c>
      <c r="D4" s="1">
        <v>18000</v>
      </c>
      <c r="E4" s="1" t="str">
        <f t="shared" si="0"/>
        <v>NO</v>
      </c>
      <c r="F4" t="str">
        <f t="shared" si="1"/>
        <v>YES</v>
      </c>
    </row>
    <row r="5" spans="1:8" x14ac:dyDescent="0.3">
      <c r="A5" s="26">
        <v>43742</v>
      </c>
      <c r="B5" s="2" t="s">
        <v>6</v>
      </c>
      <c r="C5" s="2" t="s">
        <v>133</v>
      </c>
      <c r="D5" s="1">
        <v>19000</v>
      </c>
      <c r="E5" s="1" t="str">
        <f t="shared" si="0"/>
        <v>NO</v>
      </c>
      <c r="F5" t="str">
        <f t="shared" si="1"/>
        <v>NO</v>
      </c>
    </row>
    <row r="6" spans="1:8" x14ac:dyDescent="0.3">
      <c r="A6" s="26">
        <v>43743</v>
      </c>
      <c r="B6" s="2" t="s">
        <v>7</v>
      </c>
      <c r="C6" s="2" t="s">
        <v>134</v>
      </c>
      <c r="D6" s="1">
        <v>25000</v>
      </c>
      <c r="E6" s="1" t="str">
        <f t="shared" si="0"/>
        <v>NO</v>
      </c>
      <c r="F6" t="str">
        <f t="shared" si="1"/>
        <v>YES</v>
      </c>
    </row>
    <row r="7" spans="1:8" x14ac:dyDescent="0.3">
      <c r="A7" s="26">
        <v>43744</v>
      </c>
      <c r="B7" s="2" t="s">
        <v>8</v>
      </c>
      <c r="C7" s="2" t="s">
        <v>131</v>
      </c>
      <c r="D7" s="1">
        <v>22000</v>
      </c>
      <c r="E7" s="1" t="str">
        <f t="shared" si="0"/>
        <v>YES</v>
      </c>
      <c r="F7" t="str">
        <f t="shared" si="1"/>
        <v>YES</v>
      </c>
    </row>
    <row r="8" spans="1:8" x14ac:dyDescent="0.3">
      <c r="A8" s="26">
        <v>43745</v>
      </c>
      <c r="B8" s="2" t="s">
        <v>9</v>
      </c>
      <c r="C8" s="2" t="s">
        <v>132</v>
      </c>
      <c r="D8" s="1">
        <v>15000</v>
      </c>
      <c r="E8" s="1" t="str">
        <f t="shared" si="0"/>
        <v>NO</v>
      </c>
      <c r="F8" t="str">
        <f t="shared" si="1"/>
        <v>NO</v>
      </c>
    </row>
    <row r="9" spans="1:8" x14ac:dyDescent="0.3">
      <c r="A9" s="26">
        <v>43746</v>
      </c>
      <c r="B9" s="2" t="s">
        <v>12</v>
      </c>
      <c r="C9" s="2" t="s">
        <v>131</v>
      </c>
      <c r="D9" s="1">
        <v>35000</v>
      </c>
      <c r="E9" s="1" t="str">
        <f t="shared" si="0"/>
        <v>YES</v>
      </c>
      <c r="F9" t="str">
        <f t="shared" si="1"/>
        <v>YES</v>
      </c>
    </row>
    <row r="10" spans="1:8" x14ac:dyDescent="0.3">
      <c r="A10" s="26">
        <v>43747</v>
      </c>
      <c r="B10" s="2" t="s">
        <v>10</v>
      </c>
      <c r="C10" s="2" t="s">
        <v>134</v>
      </c>
      <c r="D10" s="1">
        <v>15000</v>
      </c>
      <c r="E10" s="1" t="str">
        <f t="shared" si="0"/>
        <v>NO</v>
      </c>
      <c r="F10" t="str">
        <f t="shared" si="1"/>
        <v>NO</v>
      </c>
    </row>
    <row r="11" spans="1:8" x14ac:dyDescent="0.3">
      <c r="A11" s="26">
        <v>43748</v>
      </c>
      <c r="B11" s="2" t="s">
        <v>13</v>
      </c>
      <c r="C11" s="2" t="s">
        <v>134</v>
      </c>
      <c r="D11" s="1">
        <v>35000</v>
      </c>
      <c r="E11" s="1" t="str">
        <f t="shared" si="0"/>
        <v>NO</v>
      </c>
      <c r="F11" t="str">
        <f t="shared" si="1"/>
        <v>YES</v>
      </c>
    </row>
    <row r="12" spans="1:8" x14ac:dyDescent="0.3">
      <c r="A12" s="26">
        <v>43749</v>
      </c>
      <c r="B12" s="2" t="s">
        <v>14</v>
      </c>
      <c r="C12" s="2" t="s">
        <v>134</v>
      </c>
      <c r="D12" s="1">
        <v>18000</v>
      </c>
      <c r="E12" s="1" t="str">
        <f t="shared" si="0"/>
        <v>NO</v>
      </c>
      <c r="F12" t="str">
        <f t="shared" si="1"/>
        <v>NO</v>
      </c>
    </row>
    <row r="13" spans="1:8" x14ac:dyDescent="0.3">
      <c r="A13" s="26">
        <v>43750</v>
      </c>
      <c r="B13" s="2" t="s">
        <v>15</v>
      </c>
      <c r="C13" s="2" t="s">
        <v>134</v>
      </c>
      <c r="D13" s="1">
        <v>21000</v>
      </c>
      <c r="E13" s="1" t="str">
        <f t="shared" si="0"/>
        <v>NO</v>
      </c>
      <c r="F13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E2" sqref="E2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4.33203125" customWidth="1"/>
    <col min="4" max="4" width="13.6640625" customWidth="1"/>
    <col min="7" max="7" width="11.33203125" bestFit="1" customWidth="1"/>
  </cols>
  <sheetData>
    <row r="1" spans="1:8" x14ac:dyDescent="0.3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G1" s="68" t="s">
        <v>131</v>
      </c>
      <c r="H1">
        <v>5000</v>
      </c>
    </row>
    <row r="2" spans="1:8" x14ac:dyDescent="0.3">
      <c r="A2" s="26">
        <v>43739</v>
      </c>
      <c r="B2" s="2" t="s">
        <v>3</v>
      </c>
      <c r="C2" s="2" t="s">
        <v>131</v>
      </c>
      <c r="D2" s="1">
        <v>15000</v>
      </c>
      <c r="E2" s="1">
        <f>IF(C2="MANAGER",5000,IF(C2="SUPERVISOR",3000,IF(C2="CLERK",2500,2000)))</f>
        <v>5000</v>
      </c>
    </row>
    <row r="3" spans="1:8" x14ac:dyDescent="0.3">
      <c r="A3" s="26">
        <v>43740</v>
      </c>
      <c r="B3" s="2" t="s">
        <v>4</v>
      </c>
      <c r="C3" s="2" t="s">
        <v>132</v>
      </c>
      <c r="D3" s="1">
        <v>16000</v>
      </c>
      <c r="E3" s="1">
        <f t="shared" ref="E3:E13" si="0">IF(C3="MANAGER",5000,IF(C3="SUPERVISOR",3000,IF(C3="CLERK",2500,2000)))</f>
        <v>3000</v>
      </c>
      <c r="G3" t="s">
        <v>132</v>
      </c>
      <c r="H3">
        <v>3000</v>
      </c>
    </row>
    <row r="4" spans="1:8" x14ac:dyDescent="0.3">
      <c r="A4" s="26">
        <v>43741</v>
      </c>
      <c r="B4" s="2" t="s">
        <v>5</v>
      </c>
      <c r="C4" s="2" t="s">
        <v>131</v>
      </c>
      <c r="D4" s="1">
        <v>18000</v>
      </c>
      <c r="E4" s="1">
        <f t="shared" si="0"/>
        <v>5000</v>
      </c>
    </row>
    <row r="5" spans="1:8" x14ac:dyDescent="0.3">
      <c r="A5" s="26">
        <v>43742</v>
      </c>
      <c r="B5" s="2" t="s">
        <v>6</v>
      </c>
      <c r="C5" s="2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3">
      <c r="A6" s="26">
        <v>43743</v>
      </c>
      <c r="B6" s="2" t="s">
        <v>7</v>
      </c>
      <c r="C6" s="2" t="s">
        <v>134</v>
      </c>
      <c r="D6" s="1">
        <v>25000</v>
      </c>
      <c r="E6" s="1">
        <f t="shared" si="0"/>
        <v>2500</v>
      </c>
    </row>
    <row r="7" spans="1:8" x14ac:dyDescent="0.3">
      <c r="A7" s="26">
        <v>43744</v>
      </c>
      <c r="B7" s="2" t="s">
        <v>8</v>
      </c>
      <c r="C7" s="2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3">
      <c r="A8" s="26">
        <v>43745</v>
      </c>
      <c r="B8" s="2" t="s">
        <v>9</v>
      </c>
      <c r="C8" s="2" t="s">
        <v>132</v>
      </c>
      <c r="D8" s="1">
        <v>15000</v>
      </c>
      <c r="E8" s="1">
        <f t="shared" si="0"/>
        <v>3000</v>
      </c>
    </row>
    <row r="9" spans="1:8" x14ac:dyDescent="0.3">
      <c r="A9" s="26">
        <v>43746</v>
      </c>
      <c r="B9" s="2" t="s">
        <v>12</v>
      </c>
      <c r="C9" s="2" t="s">
        <v>131</v>
      </c>
      <c r="D9" s="1">
        <v>35000</v>
      </c>
      <c r="E9" s="1">
        <f t="shared" si="0"/>
        <v>5000</v>
      </c>
    </row>
    <row r="10" spans="1:8" x14ac:dyDescent="0.3">
      <c r="A10" s="26">
        <v>43747</v>
      </c>
      <c r="B10" s="2" t="s">
        <v>10</v>
      </c>
      <c r="C10" s="2" t="s">
        <v>134</v>
      </c>
      <c r="D10" s="1">
        <v>15000</v>
      </c>
      <c r="E10" s="1">
        <f t="shared" si="0"/>
        <v>2500</v>
      </c>
    </row>
    <row r="11" spans="1:8" x14ac:dyDescent="0.3">
      <c r="A11" s="26">
        <v>43748</v>
      </c>
      <c r="B11" s="2" t="s">
        <v>13</v>
      </c>
      <c r="C11" s="2" t="s">
        <v>134</v>
      </c>
      <c r="D11" s="1">
        <v>35000</v>
      </c>
      <c r="E11" s="1">
        <f t="shared" si="0"/>
        <v>2500</v>
      </c>
    </row>
    <row r="12" spans="1:8" x14ac:dyDescent="0.3">
      <c r="A12" s="26">
        <v>43749</v>
      </c>
      <c r="B12" s="2" t="s">
        <v>14</v>
      </c>
      <c r="C12" s="2" t="s">
        <v>134</v>
      </c>
      <c r="D12" s="1">
        <v>18000</v>
      </c>
      <c r="E12" s="1">
        <f t="shared" si="0"/>
        <v>2500</v>
      </c>
    </row>
    <row r="13" spans="1:8" x14ac:dyDescent="0.3">
      <c r="A13" s="26">
        <v>43750</v>
      </c>
      <c r="B13" s="2" t="s">
        <v>15</v>
      </c>
      <c r="C13" s="2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opLeftCell="D1" zoomScale="200" zoomScaleNormal="200" workbookViewId="0">
      <selection activeCell="I1" sqref="I1:J13"/>
    </sheetView>
  </sheetViews>
  <sheetFormatPr defaultRowHeight="14.4" x14ac:dyDescent="0.3"/>
  <cols>
    <col min="1" max="1" width="19.6640625" customWidth="1"/>
    <col min="5" max="5" width="17.88671875" bestFit="1" customWidth="1"/>
    <col min="6" max="6" width="10.88671875" bestFit="1" customWidth="1"/>
    <col min="9" max="9" width="18.33203125" bestFit="1" customWidth="1"/>
  </cols>
  <sheetData>
    <row r="1" spans="1:9" x14ac:dyDescent="0.3">
      <c r="A1" s="27" t="s">
        <v>135</v>
      </c>
      <c r="B1" t="s">
        <v>209</v>
      </c>
      <c r="C1" t="s">
        <v>210</v>
      </c>
      <c r="D1" t="s">
        <v>211</v>
      </c>
      <c r="E1" s="27" t="s">
        <v>135</v>
      </c>
      <c r="I1" s="27"/>
    </row>
    <row r="2" spans="1:9" x14ac:dyDescent="0.3">
      <c r="A2" s="2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2" t="s">
        <v>136</v>
      </c>
      <c r="F2" t="str">
        <f>LEFT(E2,FIND(" ",E2,1)-1)</f>
        <v>Mumbai</v>
      </c>
      <c r="G2">
        <f>FIND(" ",E2,1)-1</f>
        <v>6</v>
      </c>
      <c r="I2" s="2"/>
    </row>
    <row r="3" spans="1:9" x14ac:dyDescent="0.3">
      <c r="A3" s="2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2" t="s">
        <v>148</v>
      </c>
      <c r="F3" t="str">
        <f t="shared" ref="F3:F13" si="3">LEFT(E3,FIND(" ",E3,1)-1)</f>
        <v>Delhi</v>
      </c>
      <c r="G3">
        <f t="shared" ref="G3:G13" si="4">FIND(" ",E3,1)-1</f>
        <v>5</v>
      </c>
      <c r="I3" s="2"/>
    </row>
    <row r="4" spans="1:9" x14ac:dyDescent="0.3">
      <c r="A4" s="2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2" t="s">
        <v>149</v>
      </c>
      <c r="F4" t="str">
        <f t="shared" si="3"/>
        <v>Pune</v>
      </c>
      <c r="G4">
        <f t="shared" si="4"/>
        <v>4</v>
      </c>
      <c r="I4" s="2"/>
    </row>
    <row r="5" spans="1:9" x14ac:dyDescent="0.3">
      <c r="A5" s="2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2" t="s">
        <v>150</v>
      </c>
      <c r="F5" t="str">
        <f t="shared" si="3"/>
        <v>Chennai</v>
      </c>
      <c r="G5">
        <f t="shared" si="4"/>
        <v>7</v>
      </c>
      <c r="I5" s="2"/>
    </row>
    <row r="6" spans="1:9" x14ac:dyDescent="0.3">
      <c r="A6" s="2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2" t="s">
        <v>151</v>
      </c>
      <c r="F6" t="str">
        <f t="shared" si="3"/>
        <v>Alhabad</v>
      </c>
      <c r="G6">
        <f t="shared" si="4"/>
        <v>7</v>
      </c>
      <c r="I6" s="2"/>
    </row>
    <row r="7" spans="1:9" x14ac:dyDescent="0.3">
      <c r="A7" s="2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2" t="s">
        <v>152</v>
      </c>
      <c r="F7" t="str">
        <f t="shared" si="3"/>
        <v>Surat</v>
      </c>
      <c r="G7">
        <f t="shared" si="4"/>
        <v>5</v>
      </c>
      <c r="I7" s="2"/>
    </row>
    <row r="8" spans="1:9" x14ac:dyDescent="0.3">
      <c r="A8" s="2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2" t="s">
        <v>212</v>
      </c>
      <c r="F8" t="str">
        <f t="shared" si="3"/>
        <v>Ahmedabad</v>
      </c>
      <c r="G8">
        <f t="shared" si="4"/>
        <v>9</v>
      </c>
      <c r="I8" s="2"/>
    </row>
    <row r="9" spans="1:9" x14ac:dyDescent="0.3">
      <c r="A9" s="2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2" t="s">
        <v>153</v>
      </c>
      <c r="F9" t="str">
        <f t="shared" si="3"/>
        <v>Punji</v>
      </c>
      <c r="G9">
        <f t="shared" si="4"/>
        <v>5</v>
      </c>
      <c r="I9" s="2"/>
    </row>
    <row r="10" spans="1:9" x14ac:dyDescent="0.3">
      <c r="A10" s="2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2" t="s">
        <v>154</v>
      </c>
      <c r="F10" t="str">
        <f t="shared" si="3"/>
        <v>Bhopal</v>
      </c>
      <c r="G10">
        <f t="shared" si="4"/>
        <v>6</v>
      </c>
      <c r="I10" s="2"/>
    </row>
    <row r="11" spans="1:9" x14ac:dyDescent="0.3">
      <c r="A11" s="2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2" t="s">
        <v>155</v>
      </c>
      <c r="F11" t="str">
        <f t="shared" si="3"/>
        <v>Ranchi</v>
      </c>
      <c r="G11">
        <f t="shared" si="4"/>
        <v>6</v>
      </c>
      <c r="I11" s="2"/>
    </row>
    <row r="12" spans="1:9" x14ac:dyDescent="0.3">
      <c r="A12" s="2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2" t="s">
        <v>156</v>
      </c>
      <c r="F12" t="str">
        <f t="shared" si="3"/>
        <v>Amrutsar</v>
      </c>
      <c r="G12">
        <f t="shared" si="4"/>
        <v>8</v>
      </c>
      <c r="I12" s="2"/>
    </row>
    <row r="13" spans="1:9" x14ac:dyDescent="0.3">
      <c r="A13" s="2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2" t="s">
        <v>157</v>
      </c>
      <c r="F13" t="str">
        <f t="shared" si="3"/>
        <v>Kolkatta</v>
      </c>
      <c r="G13">
        <f t="shared" si="4"/>
        <v>8</v>
      </c>
      <c r="I13" s="2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265" zoomScaleNormal="265" workbookViewId="0">
      <selection activeCell="C7" sqref="C7"/>
    </sheetView>
  </sheetViews>
  <sheetFormatPr defaultRowHeight="14.4" x14ac:dyDescent="0.3"/>
  <cols>
    <col min="1" max="1" width="12.77734375" bestFit="1" customWidth="1"/>
    <col min="2" max="2" width="19" customWidth="1"/>
    <col min="3" max="3" width="10" bestFit="1" customWidth="1"/>
  </cols>
  <sheetData>
    <row r="1" spans="1:6" ht="21" customHeight="1" x14ac:dyDescent="0.3">
      <c r="A1" s="55" t="s">
        <v>191</v>
      </c>
      <c r="B1" s="55"/>
      <c r="C1" s="55"/>
      <c r="D1" s="43"/>
      <c r="E1" s="43"/>
      <c r="F1" s="43"/>
    </row>
    <row r="2" spans="1:6" x14ac:dyDescent="0.3">
      <c r="A2" s="46" t="s">
        <v>192</v>
      </c>
      <c r="B2" s="46" t="s">
        <v>190</v>
      </c>
      <c r="C2" s="46" t="s">
        <v>189</v>
      </c>
    </row>
    <row r="3" spans="1:6" ht="17.25" customHeight="1" x14ac:dyDescent="0.3">
      <c r="A3" s="47" t="s">
        <v>29</v>
      </c>
      <c r="B3" s="48">
        <v>3</v>
      </c>
      <c r="C3" s="49" t="str">
        <f>REPT("@",B3)</f>
        <v>@@@</v>
      </c>
    </row>
    <row r="4" spans="1:6" x14ac:dyDescent="0.3">
      <c r="A4" s="47" t="s">
        <v>28</v>
      </c>
      <c r="B4" s="48">
        <v>5</v>
      </c>
      <c r="C4" s="49" t="str">
        <f t="shared" ref="C4:C7" si="0">REPT("@",B4)</f>
        <v>@@@@@</v>
      </c>
    </row>
    <row r="5" spans="1:6" x14ac:dyDescent="0.3">
      <c r="A5" s="47" t="s">
        <v>193</v>
      </c>
      <c r="B5" s="48">
        <v>3</v>
      </c>
      <c r="C5" s="49" t="str">
        <f t="shared" si="0"/>
        <v>@@@</v>
      </c>
    </row>
    <row r="6" spans="1:6" x14ac:dyDescent="0.3">
      <c r="A6" s="47" t="s">
        <v>194</v>
      </c>
      <c r="B6" s="48">
        <v>2</v>
      </c>
      <c r="C6" s="49" t="str">
        <f t="shared" si="0"/>
        <v>@@</v>
      </c>
    </row>
    <row r="7" spans="1:6" x14ac:dyDescent="0.3">
      <c r="A7" s="47" t="s">
        <v>195</v>
      </c>
      <c r="B7" s="48">
        <v>1</v>
      </c>
      <c r="C7" s="49" t="str">
        <f t="shared" si="0"/>
        <v>@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250" zoomScaleNormal="250" workbookViewId="0">
      <selection activeCell="B6" sqref="B6"/>
    </sheetView>
  </sheetViews>
  <sheetFormatPr defaultRowHeight="14.4" x14ac:dyDescent="0.3"/>
  <cols>
    <col min="1" max="1" width="19.5546875" customWidth="1"/>
    <col min="2" max="2" width="20.33203125" customWidth="1"/>
  </cols>
  <sheetData>
    <row r="1" spans="1:5" ht="21" customHeight="1" x14ac:dyDescent="0.3">
      <c r="A1" s="56" t="s">
        <v>188</v>
      </c>
      <c r="B1" s="57"/>
      <c r="C1" s="43"/>
      <c r="D1" s="43"/>
      <c r="E1" s="43"/>
    </row>
    <row r="2" spans="1:5" x14ac:dyDescent="0.3">
      <c r="A2" s="44" t="s">
        <v>187</v>
      </c>
      <c r="B2" s="44" t="s">
        <v>186</v>
      </c>
    </row>
    <row r="3" spans="1:5" ht="17.25" customHeight="1" x14ac:dyDescent="0.3">
      <c r="A3" s="45" t="s">
        <v>185</v>
      </c>
      <c r="B3" s="45" t="str">
        <f>SUBSTITUTE(A3,"-","")</f>
        <v>9812345678</v>
      </c>
    </row>
    <row r="4" spans="1:5" x14ac:dyDescent="0.3">
      <c r="A4" s="45" t="s">
        <v>184</v>
      </c>
      <c r="B4" s="45" t="str">
        <f>SUBSTITUTE(A4,", ","-")</f>
        <v>MUMBAI-400086</v>
      </c>
    </row>
    <row r="5" spans="1:5" x14ac:dyDescent="0.3">
      <c r="A5" s="45" t="s">
        <v>183</v>
      </c>
      <c r="B5" s="45" t="str">
        <f>SUBSTITUTE(A5,"-","")</f>
        <v>9812121212</v>
      </c>
    </row>
    <row r="6" spans="1:5" x14ac:dyDescent="0.3">
      <c r="A6" s="45" t="s">
        <v>182</v>
      </c>
      <c r="B6" s="45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K1" zoomScale="220" zoomScaleNormal="220" workbookViewId="0">
      <selection activeCell="O11" sqref="O11"/>
    </sheetView>
  </sheetViews>
  <sheetFormatPr defaultRowHeight="14.4" x14ac:dyDescent="0.3"/>
  <cols>
    <col min="1" max="1" width="11.109375" customWidth="1"/>
    <col min="2" max="2" width="16" customWidth="1"/>
    <col min="3" max="3" width="11.5546875" bestFit="1" customWidth="1"/>
    <col min="4" max="4" width="13.6640625" customWidth="1"/>
    <col min="5" max="5" width="22.5546875" bestFit="1" customWidth="1"/>
    <col min="6" max="6" width="12" bestFit="1" customWidth="1"/>
    <col min="7" max="7" width="10.44140625" customWidth="1"/>
    <col min="8" max="9" width="14" bestFit="1" customWidth="1"/>
    <col min="11" max="11" width="14" bestFit="1" customWidth="1"/>
    <col min="12" max="12" width="13.5546875" bestFit="1" customWidth="1"/>
    <col min="14" max="14" width="16" bestFit="1" customWidth="1"/>
    <col min="15" max="15" width="15.109375" customWidth="1"/>
  </cols>
  <sheetData>
    <row r="1" spans="1:17" ht="17.399999999999999" x14ac:dyDescent="0.45">
      <c r="A1" s="39" t="s">
        <v>165</v>
      </c>
      <c r="B1" s="59" t="s">
        <v>181</v>
      </c>
      <c r="C1" s="60"/>
      <c r="F1" s="38" t="s">
        <v>168</v>
      </c>
      <c r="G1" s="39" t="s">
        <v>180</v>
      </c>
      <c r="H1" s="39" t="s">
        <v>179</v>
      </c>
      <c r="I1" s="39" t="s">
        <v>164</v>
      </c>
      <c r="K1" s="61" t="s">
        <v>178</v>
      </c>
      <c r="L1" s="62"/>
      <c r="N1" s="63" t="s">
        <v>177</v>
      </c>
      <c r="O1" s="63"/>
    </row>
    <row r="2" spans="1:17" x14ac:dyDescent="0.3">
      <c r="B2" s="1" t="s">
        <v>176</v>
      </c>
      <c r="E2" s="37" t="s">
        <v>175</v>
      </c>
      <c r="F2" s="1">
        <v>1</v>
      </c>
      <c r="G2" s="32">
        <f>IPMT($C$3/12,F2,$C$5,-$C$4)</f>
        <v>833.33333333333337</v>
      </c>
      <c r="H2" s="32">
        <f>PPMT($C$3/12,F2,$C$5,-$C$4)</f>
        <v>9630.704765605522</v>
      </c>
      <c r="I2" s="32">
        <f>G2+H2</f>
        <v>10464.038098938856</v>
      </c>
      <c r="K2" s="1" t="s">
        <v>163</v>
      </c>
      <c r="L2" s="1"/>
      <c r="N2" s="1"/>
      <c r="O2" s="1"/>
    </row>
    <row r="3" spans="1:17" x14ac:dyDescent="0.3">
      <c r="A3" s="36" t="s">
        <v>174</v>
      </c>
      <c r="B3" s="1" t="s">
        <v>172</v>
      </c>
      <c r="C3" s="35">
        <v>0.1</v>
      </c>
      <c r="D3" s="1" t="s">
        <v>173</v>
      </c>
      <c r="E3" s="1" t="s">
        <v>114</v>
      </c>
      <c r="F3" s="1">
        <v>2</v>
      </c>
      <c r="G3" s="32">
        <f>IPMT($C$3/12,F3,$C$5,-$C$4)</f>
        <v>753.07746028662052</v>
      </c>
      <c r="H3" s="32">
        <f t="shared" ref="H3:H11" si="0">PPMT($C$3/12,F3,$C$5,-$C$4)</f>
        <v>9710.9606386522355</v>
      </c>
      <c r="I3" s="32">
        <f t="shared" ref="I3:I11" si="1">G3+H3</f>
        <v>10464.038098938856</v>
      </c>
      <c r="K3" s="1" t="s">
        <v>172</v>
      </c>
      <c r="L3" s="35">
        <v>0.1</v>
      </c>
      <c r="N3" s="1" t="s">
        <v>172</v>
      </c>
      <c r="O3" s="35">
        <v>0.03</v>
      </c>
    </row>
    <row r="4" spans="1:17" x14ac:dyDescent="0.3">
      <c r="B4" s="36" t="s">
        <v>163</v>
      </c>
      <c r="C4" s="1">
        <v>100000</v>
      </c>
      <c r="D4" s="40" t="s">
        <v>171</v>
      </c>
      <c r="E4" s="1" t="s">
        <v>170</v>
      </c>
      <c r="F4" s="1">
        <v>3</v>
      </c>
      <c r="G4" s="32">
        <f>IPMT($C$3/12,F4,$C$5,-$C$4)</f>
        <v>672.15278829785188</v>
      </c>
      <c r="H4" s="32">
        <f t="shared" si="0"/>
        <v>9791.8853106410024</v>
      </c>
      <c r="I4" s="32">
        <f t="shared" si="1"/>
        <v>10464.038098938854</v>
      </c>
      <c r="K4" s="1" t="s">
        <v>164</v>
      </c>
      <c r="L4" s="1">
        <v>20000</v>
      </c>
      <c r="N4" s="1" t="s">
        <v>164</v>
      </c>
      <c r="O4" s="1">
        <v>5500</v>
      </c>
    </row>
    <row r="5" spans="1:17" x14ac:dyDescent="0.3">
      <c r="B5" s="36" t="s">
        <v>169</v>
      </c>
      <c r="C5" s="1">
        <v>10</v>
      </c>
      <c r="D5" s="40" t="s">
        <v>168</v>
      </c>
      <c r="E5" s="1" t="s">
        <v>167</v>
      </c>
      <c r="F5" s="1">
        <v>4</v>
      </c>
      <c r="G5" s="32">
        <f t="shared" ref="G5:G11" si="2">IPMT($C$3/12,F5,$C$5,-$C$4)</f>
        <v>590.55374404251017</v>
      </c>
      <c r="H5" s="32">
        <f t="shared" si="0"/>
        <v>9873.4843548963454</v>
      </c>
      <c r="I5" s="32">
        <f t="shared" si="1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7" x14ac:dyDescent="0.3">
      <c r="C6" s="1"/>
      <c r="F6" s="1">
        <v>5</v>
      </c>
      <c r="G6" s="32">
        <f t="shared" si="2"/>
        <v>508.2747077517073</v>
      </c>
      <c r="H6" s="32">
        <f t="shared" si="0"/>
        <v>9955.763391187149</v>
      </c>
      <c r="I6" s="32">
        <f t="shared" si="1"/>
        <v>10464.038098938856</v>
      </c>
      <c r="Q6">
        <f>O4*O5</f>
        <v>66000</v>
      </c>
    </row>
    <row r="7" spans="1:17" x14ac:dyDescent="0.3">
      <c r="A7" s="1" t="s">
        <v>165</v>
      </c>
      <c r="B7" s="36" t="s">
        <v>164</v>
      </c>
      <c r="C7" s="41">
        <f>PMT(C3/12,C5,-C4)</f>
        <v>10464.038098938856</v>
      </c>
      <c r="F7" s="1">
        <v>6</v>
      </c>
      <c r="G7" s="32">
        <f t="shared" si="2"/>
        <v>425.31001282514779</v>
      </c>
      <c r="H7" s="32">
        <f t="shared" si="0"/>
        <v>10038.728086113708</v>
      </c>
      <c r="I7" s="32">
        <f t="shared" si="1"/>
        <v>10464.038098938856</v>
      </c>
      <c r="K7" s="1" t="s">
        <v>163</v>
      </c>
      <c r="L7" s="34">
        <f>PV(L3/12,L5,-L4)</f>
        <v>941307.38047503715</v>
      </c>
      <c r="N7" s="1" t="s">
        <v>162</v>
      </c>
      <c r="O7" s="34">
        <f>FV(O3/12,O5,-O4)</f>
        <v>66915.10520971482</v>
      </c>
    </row>
    <row r="8" spans="1:17" x14ac:dyDescent="0.3">
      <c r="A8" s="1" t="s">
        <v>161</v>
      </c>
      <c r="B8" s="36" t="s">
        <v>160</v>
      </c>
      <c r="C8" s="1">
        <f>C7*C5</f>
        <v>104640.38098938856</v>
      </c>
      <c r="E8" s="31"/>
      <c r="F8" s="1">
        <v>7</v>
      </c>
      <c r="G8" s="32">
        <f t="shared" si="2"/>
        <v>341.65394544086683</v>
      </c>
      <c r="H8" s="32">
        <f t="shared" si="0"/>
        <v>10122.384153497989</v>
      </c>
      <c r="I8" s="32">
        <f t="shared" si="1"/>
        <v>10464.038098938856</v>
      </c>
    </row>
    <row r="9" spans="1:17" x14ac:dyDescent="0.3">
      <c r="A9" s="1" t="s">
        <v>106</v>
      </c>
      <c r="B9" s="36" t="s">
        <v>159</v>
      </c>
      <c r="C9" s="32">
        <f>C8-C4</f>
        <v>4640.3809893885627</v>
      </c>
      <c r="E9" s="33"/>
      <c r="F9" s="1">
        <v>8</v>
      </c>
      <c r="G9" s="32">
        <f t="shared" si="2"/>
        <v>257.30074416171698</v>
      </c>
      <c r="H9" s="32">
        <f t="shared" si="0"/>
        <v>10206.73735477714</v>
      </c>
      <c r="I9" s="32">
        <f t="shared" si="1"/>
        <v>10464.038098938858</v>
      </c>
    </row>
    <row r="10" spans="1:17" x14ac:dyDescent="0.3">
      <c r="F10" s="1">
        <v>9</v>
      </c>
      <c r="G10" s="32">
        <f t="shared" si="2"/>
        <v>172.24459953857416</v>
      </c>
      <c r="H10" s="32">
        <f t="shared" si="0"/>
        <v>10291.793499400283</v>
      </c>
      <c r="I10" s="32">
        <f t="shared" si="1"/>
        <v>10464.038098938856</v>
      </c>
    </row>
    <row r="11" spans="1:17" x14ac:dyDescent="0.3">
      <c r="C11" s="31"/>
      <c r="F11" s="1">
        <v>10</v>
      </c>
      <c r="G11" s="32">
        <f t="shared" si="2"/>
        <v>86.47965371023848</v>
      </c>
      <c r="H11" s="32">
        <f t="shared" si="0"/>
        <v>10377.558445228618</v>
      </c>
      <c r="I11" s="32">
        <f t="shared" si="1"/>
        <v>10464.038098938858</v>
      </c>
    </row>
    <row r="12" spans="1:17" x14ac:dyDescent="0.3">
      <c r="F12" s="1"/>
      <c r="G12" s="32">
        <f>SUM(G2:G11)</f>
        <v>4640.3809893885682</v>
      </c>
      <c r="H12" s="32">
        <f>SUM(H2:H11)</f>
        <v>100000</v>
      </c>
      <c r="I12" s="32">
        <f>SUM(I2:I11)</f>
        <v>104640.38098938856</v>
      </c>
    </row>
    <row r="14" spans="1:17" x14ac:dyDescent="0.3">
      <c r="H14" s="42"/>
    </row>
    <row r="15" spans="1:17" x14ac:dyDescent="0.3">
      <c r="D15" s="58" t="s">
        <v>158</v>
      </c>
      <c r="E15" s="58"/>
    </row>
    <row r="16" spans="1:17" x14ac:dyDescent="0.3">
      <c r="D16" s="31">
        <f>C4-H2</f>
        <v>90369.295234394478</v>
      </c>
      <c r="E16" s="30">
        <f>PMT(C3/12,9,-D16)</f>
        <v>10464.038098938856</v>
      </c>
    </row>
    <row r="17" spans="4:5" x14ac:dyDescent="0.3">
      <c r="D17" s="31">
        <f>D16-H3</f>
        <v>80658.334595742243</v>
      </c>
      <c r="E17" s="30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FREQUENCY</vt:lpstr>
      <vt:lpstr>INDEX &amp; MATCH</vt:lpstr>
      <vt:lpstr>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2019-10-18T01:12:53Z</dcterms:created>
  <dcterms:modified xsi:type="dcterms:W3CDTF">2019-10-20T13:46:51Z</dcterms:modified>
</cp:coreProperties>
</file>